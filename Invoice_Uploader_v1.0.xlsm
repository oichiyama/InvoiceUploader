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radeshift_2\Desktop\"/>
    </mc:Choice>
  </mc:AlternateContent>
  <bookViews>
    <workbookView xWindow="0" yWindow="0" windowWidth="20385" windowHeight="8790" tabRatio="500"/>
  </bookViews>
  <sheets>
    <sheet name="請求書作成" sheetId="1" r:id="rId1"/>
    <sheet name="請求書データ" sheetId="3" r:id="rId2"/>
    <sheet name="マスタ" sheetId="5" r:id="rId3"/>
    <sheet name="パラメータ" sheetId="2" r:id="rId4"/>
    <sheet name="XML" sheetId="4" r:id="rId5"/>
    <sheet name="ログ" sheetId="6" r:id="rId6"/>
  </sheets>
  <functionGroups builtInGroupCount="18"/>
  <definedNames>
    <definedName name="From">マスタ!#REF!</definedName>
    <definedName name="PayHow">マスタ!#REF!</definedName>
    <definedName name="PayHox">マスタ!#REF!</definedName>
    <definedName name="宛先">マスタ!$B$18:INDEX(マスタ!$B$18:$B$65,MAX((マスタ!$B$18:$B$65&lt;&gt;"")*ROW(マスタ!$B$18:$B$65)))</definedName>
    <definedName name="差出人">マスタ!$B$7:INDEX(マスタ!$B$7:$B$14,MAX((マスタ!$B$7:$B$14&lt;&gt;"")*ROW(マスタ!$B$7:$B$14)))</definedName>
    <definedName name="単位">マスタ!$V$3:INDEX(マスタ!$V$3:$V$17,MAX((マスタ!$V$3:$V$17&lt;&gt;"")*ROW(マスタ!$V$3:$V$17)))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15" i="1" l="1"/>
  <c r="H10" i="1"/>
  <c r="H11" i="1"/>
  <c r="H12" i="1"/>
  <c r="I113" i="1"/>
  <c r="H13" i="1"/>
  <c r="H14" i="1"/>
  <c r="H15" i="1"/>
  <c r="H16" i="1"/>
  <c r="H17" i="1"/>
  <c r="H18" i="1"/>
  <c r="H19" i="1"/>
  <c r="H20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9" i="1"/>
  <c r="H114" i="1"/>
  <c r="I114" i="1"/>
  <c r="I112" i="1"/>
  <c r="H112" i="1"/>
  <c r="H113" i="1"/>
  <c r="H21" i="1"/>
  <c r="I111" i="1"/>
  <c r="H111" i="1"/>
  <c r="H110" i="1"/>
  <c r="H116" i="1"/>
</calcChain>
</file>

<file path=xl/sharedStrings.xml><?xml version="1.0" encoding="utf-8"?>
<sst xmlns="http://schemas.openxmlformats.org/spreadsheetml/2006/main" count="560" uniqueCount="372">
  <si>
    <t>CONSUMER_KEY</t>
  </si>
  <si>
    <t>CONSUMER_SECRET</t>
    <phoneticPr fontId="2"/>
  </si>
  <si>
    <t>OwnAccount</t>
    <phoneticPr fontId="2"/>
  </si>
  <si>
    <t>OwnAccount</t>
    <phoneticPr fontId="2"/>
  </si>
  <si>
    <t>Parameter</t>
    <phoneticPr fontId="2"/>
  </si>
  <si>
    <t>Value</t>
    <phoneticPr fontId="2"/>
  </si>
  <si>
    <t>TOKEN_KEY</t>
    <phoneticPr fontId="2"/>
  </si>
  <si>
    <t>TOKEN_SECRET</t>
    <phoneticPr fontId="2"/>
  </si>
  <si>
    <t>TENANT_ID</t>
    <phoneticPr fontId="2"/>
  </si>
  <si>
    <t>CONTENT_TYPE</t>
    <phoneticPr fontId="2"/>
  </si>
  <si>
    <t>RESPONSE_DOC_TYPE</t>
    <phoneticPr fontId="2"/>
  </si>
  <si>
    <t>application/xml</t>
    <phoneticPr fontId="2"/>
  </si>
  <si>
    <t>text/xml</t>
    <phoneticPr fontId="2"/>
  </si>
  <si>
    <t>BASE_URL</t>
    <phoneticPr fontId="2"/>
  </si>
  <si>
    <t>https://api-sandbox.tradeshift.com/tradeshift/rest/external/</t>
    <phoneticPr fontId="2"/>
  </si>
  <si>
    <t>DOC_PROFILE_ID</t>
    <phoneticPr fontId="2"/>
  </si>
  <si>
    <t>単位</t>
    <rPh sb="0" eb="2">
      <t>タンイ</t>
    </rPh>
    <phoneticPr fontId="2"/>
  </si>
  <si>
    <t>小計(税抜)</t>
    <rPh sb="0" eb="2">
      <t>ショウケイ</t>
    </rPh>
    <rPh sb="3" eb="5">
      <t>ゼイヌ</t>
    </rPh>
    <phoneticPr fontId="2"/>
  </si>
  <si>
    <t>合計（税抜）</t>
    <rPh sb="0" eb="2">
      <t>ゴウケイ</t>
    </rPh>
    <rPh sb="3" eb="5">
      <t>ゼイヌ</t>
    </rPh>
    <phoneticPr fontId="2"/>
  </si>
  <si>
    <t>合計</t>
    <rPh sb="0" eb="2">
      <t>ゴウケイ</t>
    </rPh>
    <phoneticPr fontId="2"/>
  </si>
  <si>
    <t>請求書</t>
    <rPh sb="0" eb="3">
      <t>セイキュウショ</t>
    </rPh>
    <phoneticPr fontId="2"/>
  </si>
  <si>
    <t>運送情報</t>
    <rPh sb="0" eb="2">
      <t>ウンソウ</t>
    </rPh>
    <rPh sb="2" eb="4">
      <t>ジョウホウ</t>
    </rPh>
    <phoneticPr fontId="2"/>
  </si>
  <si>
    <t>個</t>
    <rPh sb="0" eb="1">
      <t>コ</t>
    </rPh>
    <phoneticPr fontId="2"/>
  </si>
  <si>
    <t>消費税 8%</t>
    <rPh sb="0" eb="3">
      <t>ショウヒゼイ</t>
    </rPh>
    <phoneticPr fontId="2"/>
  </si>
  <si>
    <t>消費税 0%</t>
    <rPh sb="0" eb="3">
      <t>ショウヒゼイ</t>
    </rPh>
    <phoneticPr fontId="2"/>
  </si>
  <si>
    <t>ノート</t>
    <phoneticPr fontId="2"/>
  </si>
  <si>
    <t>支払い方法</t>
    <rPh sb="0" eb="2">
      <t>シハラ</t>
    </rPh>
    <rPh sb="3" eb="5">
      <t>ホウホウ</t>
    </rPh>
    <phoneticPr fontId="2"/>
  </si>
  <si>
    <t>銀行名</t>
    <rPh sb="0" eb="3">
      <t>ギンコウメイ</t>
    </rPh>
    <phoneticPr fontId="2"/>
  </si>
  <si>
    <t>宛先</t>
    <rPh sb="0" eb="2">
      <t>アテサキ</t>
    </rPh>
    <phoneticPr fontId="2"/>
  </si>
  <si>
    <t>差出人</t>
    <rPh sb="0" eb="3">
      <t>サシダシニン</t>
    </rPh>
    <phoneticPr fontId="2"/>
  </si>
  <si>
    <t>都道府県</t>
    <rPh sb="0" eb="4">
      <t>トドウフケン</t>
    </rPh>
    <phoneticPr fontId="2"/>
  </si>
  <si>
    <t>会社名</t>
    <rPh sb="0" eb="3">
      <t>カイシャメイ</t>
    </rPh>
    <phoneticPr fontId="2"/>
  </si>
  <si>
    <t>郵便番号</t>
    <rPh sb="0" eb="2">
      <t>ユウビン</t>
    </rPh>
    <rPh sb="2" eb="4">
      <t>バンゴウ</t>
    </rPh>
    <phoneticPr fontId="2"/>
  </si>
  <si>
    <t>市区町村・番地</t>
    <rPh sb="0" eb="4">
      <t>シクチョウソン</t>
    </rPh>
    <rPh sb="5" eb="7">
      <t>バンチ</t>
    </rPh>
    <phoneticPr fontId="2"/>
  </si>
  <si>
    <t>ビル、マンション名</t>
    <rPh sb="8" eb="9">
      <t>メイ</t>
    </rPh>
    <phoneticPr fontId="2"/>
  </si>
  <si>
    <t>国</t>
    <rPh sb="0" eb="1">
      <t>クニ</t>
    </rPh>
    <phoneticPr fontId="2"/>
  </si>
  <si>
    <t>日本</t>
    <rPh sb="0" eb="2">
      <t>ニホン</t>
    </rPh>
    <phoneticPr fontId="2"/>
  </si>
  <si>
    <t>支払い期限</t>
    <rPh sb="0" eb="2">
      <t>シハラ</t>
    </rPh>
    <rPh sb="3" eb="5">
      <t>キゲン</t>
    </rPh>
    <phoneticPr fontId="2"/>
  </si>
  <si>
    <t>納品/検収日</t>
    <rPh sb="0" eb="2">
      <t>ノウヒン</t>
    </rPh>
    <rPh sb="3" eb="5">
      <t>ケンシュウ</t>
    </rPh>
    <rPh sb="5" eb="6">
      <t>ビ</t>
    </rPh>
    <phoneticPr fontId="2"/>
  </si>
  <si>
    <t>支店名</t>
    <rPh sb="0" eb="2">
      <t>シテン</t>
    </rPh>
    <rPh sb="2" eb="3">
      <t>メイ</t>
    </rPh>
    <phoneticPr fontId="2"/>
  </si>
  <si>
    <t>口座名義(カナ)</t>
    <rPh sb="0" eb="2">
      <t>コウザ</t>
    </rPh>
    <rPh sb="2" eb="4">
      <t>メイギ</t>
    </rPh>
    <phoneticPr fontId="2"/>
  </si>
  <si>
    <t>科目</t>
    <rPh sb="0" eb="2">
      <t>カモク</t>
    </rPh>
    <phoneticPr fontId="2"/>
  </si>
  <si>
    <t>口座番号</t>
    <rPh sb="0" eb="2">
      <t>コウザ</t>
    </rPh>
    <rPh sb="2" eb="4">
      <t>バンゴウ</t>
    </rPh>
    <phoneticPr fontId="2"/>
  </si>
  <si>
    <r>
      <rPr>
        <sz val="12"/>
        <color theme="1"/>
        <rFont val="ＭＳ Ｐゴシック"/>
        <family val="3"/>
        <charset val="128"/>
      </rPr>
      <t>単位</t>
    </r>
    <rPh sb="0" eb="2">
      <t>タンイ</t>
    </rPh>
    <phoneticPr fontId="2"/>
  </si>
  <si>
    <r>
      <t>差出人</t>
    </r>
    <r>
      <rPr>
        <sz val="12"/>
        <color rgb="FFFF0000"/>
        <rFont val="ＭＳ Ｐゴシック"/>
        <family val="2"/>
        <charset val="128"/>
        <scheme val="minor"/>
      </rPr>
      <t>*</t>
    </r>
    <rPh sb="0" eb="3">
      <t>サシダシニン</t>
    </rPh>
    <phoneticPr fontId="2"/>
  </si>
  <si>
    <r>
      <t>宛先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アテサキ</t>
    </rPh>
    <phoneticPr fontId="2"/>
  </si>
  <si>
    <r>
      <t>請求書番号</t>
    </r>
    <r>
      <rPr>
        <sz val="12"/>
        <color rgb="FFFF0000"/>
        <rFont val="ＭＳ Ｐゴシック"/>
        <family val="2"/>
        <charset val="128"/>
        <scheme val="minor"/>
      </rPr>
      <t>*</t>
    </r>
    <rPh sb="0" eb="3">
      <t>セイキュウショ</t>
    </rPh>
    <rPh sb="3" eb="5">
      <t>バンゴウ</t>
    </rPh>
    <phoneticPr fontId="2"/>
  </si>
  <si>
    <r>
      <t>請求日</t>
    </r>
    <r>
      <rPr>
        <sz val="12"/>
        <color rgb="FFFF0000"/>
        <rFont val="ＭＳ Ｐゴシック"/>
        <family val="2"/>
        <charset val="128"/>
        <scheme val="minor"/>
      </rPr>
      <t>*</t>
    </r>
    <rPh sb="0" eb="3">
      <t>セイキュウビ</t>
    </rPh>
    <phoneticPr fontId="2"/>
  </si>
  <si>
    <r>
      <t>通貨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ツウカ</t>
    </rPh>
    <phoneticPr fontId="2"/>
  </si>
  <si>
    <r>
      <t>番号/ID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バンゴウ</t>
    </rPh>
    <phoneticPr fontId="2"/>
  </si>
  <si>
    <r>
      <t>内容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ナイヨウ</t>
    </rPh>
    <phoneticPr fontId="2"/>
  </si>
  <si>
    <r>
      <rPr>
        <sz val="12"/>
        <color theme="0"/>
        <rFont val="ＭＳ Ｐゴシック"/>
        <family val="3"/>
        <charset val="128"/>
      </rPr>
      <t>請求書番号</t>
    </r>
    <rPh sb="0" eb="3">
      <t>セイキュウショ</t>
    </rPh>
    <rPh sb="3" eb="5">
      <t>バンゴウ</t>
    </rPh>
    <phoneticPr fontId="2"/>
  </si>
  <si>
    <r>
      <rPr>
        <sz val="12"/>
        <color theme="0"/>
        <rFont val="ＭＳ Ｐゴシック"/>
        <family val="3"/>
        <charset val="128"/>
      </rPr>
      <t>請求日</t>
    </r>
    <rPh sb="0" eb="3">
      <t>セイキュウビ</t>
    </rPh>
    <phoneticPr fontId="2"/>
  </si>
  <si>
    <r>
      <rPr>
        <sz val="12"/>
        <color theme="0"/>
        <rFont val="ＭＳ Ｐゴシック"/>
        <family val="3"/>
        <charset val="128"/>
      </rPr>
      <t>支払い期限</t>
    </r>
    <rPh sb="0" eb="2">
      <t>シハラ</t>
    </rPh>
    <rPh sb="3" eb="5">
      <t>キゲン</t>
    </rPh>
    <phoneticPr fontId="2"/>
  </si>
  <si>
    <r>
      <rPr>
        <sz val="12"/>
        <color theme="0"/>
        <rFont val="ＭＳ Ｐゴシック"/>
        <family val="3"/>
        <charset val="128"/>
      </rPr>
      <t>担当者メールアドレス</t>
    </r>
    <rPh sb="0" eb="3">
      <t>タントウシャ</t>
    </rPh>
    <phoneticPr fontId="2"/>
  </si>
  <si>
    <r>
      <rPr>
        <sz val="12"/>
        <color theme="0"/>
        <rFont val="ＭＳ Ｐゴシック"/>
        <family val="3"/>
        <charset val="128"/>
      </rPr>
      <t>通貨</t>
    </r>
    <rPh sb="0" eb="2">
      <t>ツウカ</t>
    </rPh>
    <phoneticPr fontId="2"/>
  </si>
  <si>
    <r>
      <rPr>
        <sz val="12"/>
        <color theme="0"/>
        <rFont val="ＭＳ Ｐゴシック"/>
        <family val="3"/>
        <charset val="128"/>
      </rPr>
      <t>納品</t>
    </r>
    <r>
      <rPr>
        <sz val="12"/>
        <color theme="0"/>
        <rFont val="Arial"/>
        <family val="2"/>
      </rPr>
      <t>/</t>
    </r>
    <r>
      <rPr>
        <sz val="12"/>
        <color theme="0"/>
        <rFont val="ＭＳ Ｐゴシック"/>
        <family val="3"/>
        <charset val="128"/>
      </rPr>
      <t>検収日</t>
    </r>
    <rPh sb="0" eb="2">
      <t>ノウヒン</t>
    </rPh>
    <rPh sb="3" eb="5">
      <t>ケンシュウ</t>
    </rPh>
    <rPh sb="5" eb="6">
      <t>ビ</t>
    </rPh>
    <phoneticPr fontId="2"/>
  </si>
  <si>
    <r>
      <rPr>
        <sz val="12"/>
        <color theme="0"/>
        <rFont val="ＭＳ Ｐゴシック"/>
        <family val="3"/>
        <charset val="128"/>
      </rPr>
      <t>差出人会社名</t>
    </r>
    <rPh sb="0" eb="3">
      <t>サシダシニン</t>
    </rPh>
    <rPh sb="3" eb="6">
      <t>カイシャメイ</t>
    </rPh>
    <phoneticPr fontId="2"/>
  </si>
  <si>
    <r>
      <rPr>
        <sz val="12"/>
        <color theme="0"/>
        <rFont val="ＭＳ Ｐゴシック"/>
        <family val="3"/>
        <charset val="128"/>
      </rPr>
      <t>差出人郵便番号</t>
    </r>
    <rPh sb="3" eb="5">
      <t>ユウビン</t>
    </rPh>
    <rPh sb="5" eb="7">
      <t>バンゴウ</t>
    </rPh>
    <phoneticPr fontId="2"/>
  </si>
  <si>
    <r>
      <rPr>
        <sz val="12"/>
        <color theme="0"/>
        <rFont val="ＭＳ Ｐゴシック"/>
        <family val="3"/>
        <charset val="128"/>
      </rPr>
      <t>差出人都道府県</t>
    </r>
    <rPh sb="3" eb="7">
      <t>トドウフケン</t>
    </rPh>
    <phoneticPr fontId="2"/>
  </si>
  <si>
    <r>
      <rPr>
        <sz val="12"/>
        <color theme="0"/>
        <rFont val="ＭＳ Ｐゴシック"/>
        <family val="3"/>
        <charset val="128"/>
      </rPr>
      <t>差出人市区町村・番地</t>
    </r>
    <rPh sb="3" eb="7">
      <t>シクチョウソン</t>
    </rPh>
    <rPh sb="8" eb="10">
      <t>バンチ</t>
    </rPh>
    <phoneticPr fontId="2"/>
  </si>
  <si>
    <r>
      <rPr>
        <sz val="12"/>
        <color theme="0"/>
        <rFont val="ＭＳ Ｐゴシック"/>
        <family val="3"/>
        <charset val="128"/>
      </rPr>
      <t>差出人ビル、マンション名</t>
    </r>
    <rPh sb="11" eb="12">
      <t>メイ</t>
    </rPh>
    <phoneticPr fontId="2"/>
  </si>
  <si>
    <r>
      <rPr>
        <sz val="12"/>
        <color theme="0"/>
        <rFont val="ＭＳ Ｐゴシック"/>
        <family val="3"/>
        <charset val="128"/>
      </rPr>
      <t>差出人国</t>
    </r>
    <rPh sb="3" eb="4">
      <t>クニ</t>
    </rPh>
    <phoneticPr fontId="2"/>
  </si>
  <si>
    <r>
      <rPr>
        <sz val="12"/>
        <color theme="0"/>
        <rFont val="ＭＳ Ｐゴシック"/>
        <family val="3"/>
        <charset val="128"/>
      </rPr>
      <t>宛先会社名</t>
    </r>
    <rPh sb="0" eb="2">
      <t>アテサキ</t>
    </rPh>
    <rPh sb="2" eb="5">
      <t>カイシャメイ</t>
    </rPh>
    <phoneticPr fontId="2"/>
  </si>
  <si>
    <r>
      <rPr>
        <sz val="12"/>
        <color theme="0"/>
        <rFont val="ＭＳ Ｐゴシック"/>
        <family val="3"/>
        <charset val="128"/>
      </rPr>
      <t>宛先郵便番号</t>
    </r>
    <rPh sb="2" eb="4">
      <t>ユウビン</t>
    </rPh>
    <rPh sb="4" eb="6">
      <t>バンゴウ</t>
    </rPh>
    <phoneticPr fontId="2"/>
  </si>
  <si>
    <r>
      <rPr>
        <sz val="12"/>
        <color theme="0"/>
        <rFont val="ＭＳ Ｐゴシック"/>
        <family val="3"/>
        <charset val="128"/>
      </rPr>
      <t>宛先都道府県</t>
    </r>
    <rPh sb="2" eb="6">
      <t>トドウフケン</t>
    </rPh>
    <phoneticPr fontId="2"/>
  </si>
  <si>
    <r>
      <rPr>
        <sz val="12"/>
        <color theme="0"/>
        <rFont val="ＭＳ Ｐゴシック"/>
        <family val="3"/>
        <charset val="128"/>
      </rPr>
      <t>宛先市区町村・番地</t>
    </r>
    <rPh sb="2" eb="6">
      <t>シクチョウソン</t>
    </rPh>
    <rPh sb="7" eb="9">
      <t>バンチ</t>
    </rPh>
    <phoneticPr fontId="2"/>
  </si>
  <si>
    <r>
      <rPr>
        <sz val="12"/>
        <color theme="0"/>
        <rFont val="ＭＳ Ｐゴシック"/>
        <family val="3"/>
        <charset val="128"/>
      </rPr>
      <t>宛先ビル、マンション名</t>
    </r>
    <rPh sb="10" eb="11">
      <t>メイ</t>
    </rPh>
    <phoneticPr fontId="2"/>
  </si>
  <si>
    <r>
      <rPr>
        <sz val="12"/>
        <color theme="0"/>
        <rFont val="ＭＳ Ｐゴシック"/>
        <family val="3"/>
        <charset val="128"/>
      </rPr>
      <t>宛先国</t>
    </r>
    <rPh sb="2" eb="3">
      <t>クニ</t>
    </rPh>
    <phoneticPr fontId="2"/>
  </si>
  <si>
    <r>
      <rPr>
        <sz val="12"/>
        <color theme="0"/>
        <rFont val="ＭＳ Ｐゴシック"/>
        <family val="3"/>
        <charset val="128"/>
      </rPr>
      <t>銀行名</t>
    </r>
    <rPh sb="0" eb="3">
      <t>ギンコウメイ</t>
    </rPh>
    <phoneticPr fontId="2"/>
  </si>
  <si>
    <r>
      <rPr>
        <sz val="12"/>
        <color theme="0"/>
        <rFont val="ＭＳ Ｐゴシック"/>
        <family val="3"/>
        <charset val="128"/>
      </rPr>
      <t>支店名</t>
    </r>
    <rPh sb="0" eb="2">
      <t>シテン</t>
    </rPh>
    <rPh sb="2" eb="3">
      <t>メイ</t>
    </rPh>
    <phoneticPr fontId="2"/>
  </si>
  <si>
    <r>
      <rPr>
        <sz val="12"/>
        <color theme="0"/>
        <rFont val="ＭＳ Ｐゴシック"/>
        <family val="3"/>
        <charset val="128"/>
      </rPr>
      <t>科目</t>
    </r>
    <rPh sb="0" eb="2">
      <t>カモク</t>
    </rPh>
    <phoneticPr fontId="2"/>
  </si>
  <si>
    <r>
      <rPr>
        <sz val="12"/>
        <color theme="0"/>
        <rFont val="ＭＳ Ｐゴシック"/>
        <family val="3"/>
        <charset val="128"/>
      </rPr>
      <t>口座番号</t>
    </r>
    <rPh sb="0" eb="2">
      <t>コウザ</t>
    </rPh>
    <rPh sb="2" eb="4">
      <t>バンゴウ</t>
    </rPh>
    <phoneticPr fontId="2"/>
  </si>
  <si>
    <r>
      <rPr>
        <sz val="12"/>
        <color theme="0"/>
        <rFont val="ＭＳ Ｐゴシック"/>
        <family val="3"/>
        <charset val="128"/>
      </rPr>
      <t>口座名義</t>
    </r>
    <r>
      <rPr>
        <sz val="12"/>
        <color theme="0"/>
        <rFont val="Arial"/>
        <family val="2"/>
      </rPr>
      <t>(</t>
    </r>
    <r>
      <rPr>
        <sz val="12"/>
        <color theme="0"/>
        <rFont val="ＭＳ Ｐゴシック"/>
        <family val="3"/>
        <charset val="128"/>
      </rPr>
      <t>カナ</t>
    </r>
    <r>
      <rPr>
        <sz val="12"/>
        <color theme="0"/>
        <rFont val="Arial"/>
        <family val="2"/>
      </rPr>
      <t>)</t>
    </r>
    <rPh sb="0" eb="2">
      <t>コウザ</t>
    </rPh>
    <rPh sb="2" eb="4">
      <t>メイギ</t>
    </rPh>
    <phoneticPr fontId="2"/>
  </si>
  <si>
    <t>接続パラメータ</t>
    <rPh sb="0" eb="2">
      <t>セツゾク</t>
    </rPh>
    <phoneticPr fontId="2"/>
  </si>
  <si>
    <t>メッセージ</t>
    <phoneticPr fontId="2"/>
  </si>
  <si>
    <t>データの作成処理ができました</t>
    <rPh sb="4" eb="6">
      <t>サクセイ</t>
    </rPh>
    <rPh sb="6" eb="8">
      <t>ショリ</t>
    </rPh>
    <phoneticPr fontId="2"/>
  </si>
  <si>
    <t>請求書が正しく送付されました</t>
    <rPh sb="0" eb="3">
      <t>セイキュウショ</t>
    </rPh>
    <rPh sb="4" eb="5">
      <t>タダ</t>
    </rPh>
    <rPh sb="7" eb="9">
      <t>ソウフ</t>
    </rPh>
    <phoneticPr fontId="2"/>
  </si>
  <si>
    <t>データの作成に失敗しました</t>
    <rPh sb="4" eb="6">
      <t>サクセイ</t>
    </rPh>
    <rPh sb="7" eb="9">
      <t>シッパイ</t>
    </rPh>
    <phoneticPr fontId="2"/>
  </si>
  <si>
    <t>ファイルID</t>
    <phoneticPr fontId="2"/>
  </si>
  <si>
    <t>割引(%)</t>
    <rPh sb="0" eb="2">
      <t>ワリビキ</t>
    </rPh>
    <phoneticPr fontId="2"/>
  </si>
  <si>
    <t>割引(金額)</t>
    <rPh sb="0" eb="2">
      <t>ワリビキ</t>
    </rPh>
    <rPh sb="3" eb="5">
      <t>キンガク</t>
    </rPh>
    <phoneticPr fontId="2"/>
  </si>
  <si>
    <t>割引説明</t>
    <rPh sb="0" eb="2">
      <t>ワリビキ</t>
    </rPh>
    <rPh sb="2" eb="4">
      <t>セツメイ</t>
    </rPh>
    <phoneticPr fontId="2"/>
  </si>
  <si>
    <t>注文書番号</t>
    <rPh sb="0" eb="3">
      <t>チュウモンショ</t>
    </rPh>
    <rPh sb="3" eb="5">
      <t>バンゴウ</t>
    </rPh>
    <phoneticPr fontId="2"/>
  </si>
  <si>
    <t>注文書明細番号</t>
    <rPh sb="0" eb="3">
      <t>チュウモンショ</t>
    </rPh>
    <rPh sb="3" eb="5">
      <t>メイサイ</t>
    </rPh>
    <rPh sb="5" eb="7">
      <t>バンゴウ</t>
    </rPh>
    <phoneticPr fontId="2"/>
  </si>
  <si>
    <t>運送情報</t>
    <rPh sb="0" eb="2">
      <t>ウンソウ</t>
    </rPh>
    <rPh sb="2" eb="4">
      <t>ジョウホウ</t>
    </rPh>
    <phoneticPr fontId="2"/>
  </si>
  <si>
    <r>
      <t>担当者メールアドレス</t>
    </r>
    <r>
      <rPr>
        <sz val="12"/>
        <color rgb="FFFF0000"/>
        <rFont val="ＭＳ Ｐゴシック"/>
        <family val="3"/>
        <charset val="128"/>
      </rPr>
      <t>*</t>
    </r>
    <rPh sb="0" eb="3">
      <t>タントウシャ</t>
    </rPh>
    <phoneticPr fontId="2"/>
  </si>
  <si>
    <r>
      <t>会社名</t>
    </r>
    <r>
      <rPr>
        <sz val="12"/>
        <color rgb="FFFF0000"/>
        <rFont val="ＭＳ Ｐゴシック"/>
        <family val="3"/>
        <charset val="128"/>
      </rPr>
      <t>*</t>
    </r>
    <rPh sb="0" eb="3">
      <t>カイシャメイ</t>
    </rPh>
    <phoneticPr fontId="2"/>
  </si>
  <si>
    <r>
      <t>都道府県</t>
    </r>
    <r>
      <rPr>
        <sz val="12"/>
        <color rgb="FFFF0000"/>
        <rFont val="ＭＳ Ｐゴシック"/>
        <family val="3"/>
        <charset val="128"/>
      </rPr>
      <t>*</t>
    </r>
    <rPh sb="0" eb="4">
      <t>トドウフケン</t>
    </rPh>
    <phoneticPr fontId="2"/>
  </si>
  <si>
    <r>
      <t>郵便番号</t>
    </r>
    <r>
      <rPr>
        <sz val="12"/>
        <color rgb="FFFF0000"/>
        <rFont val="ＭＳ Ｐゴシック"/>
        <family val="3"/>
        <charset val="128"/>
      </rPr>
      <t>*</t>
    </r>
    <rPh sb="0" eb="2">
      <t>ユウビン</t>
    </rPh>
    <rPh sb="2" eb="4">
      <t>バンゴウ</t>
    </rPh>
    <phoneticPr fontId="2"/>
  </si>
  <si>
    <r>
      <t>市区町村・番地</t>
    </r>
    <r>
      <rPr>
        <sz val="12"/>
        <color rgb="FFFF0000"/>
        <rFont val="ＭＳ Ｐゴシック"/>
        <family val="3"/>
        <charset val="128"/>
      </rPr>
      <t>*</t>
    </r>
    <rPh sb="0" eb="4">
      <t>シクチョウソン</t>
    </rPh>
    <rPh sb="5" eb="7">
      <t>バンチ</t>
    </rPh>
    <phoneticPr fontId="2"/>
  </si>
  <si>
    <r>
      <t>国</t>
    </r>
    <r>
      <rPr>
        <sz val="12"/>
        <color rgb="FFFF0000"/>
        <rFont val="ＭＳ Ｐゴシック"/>
        <family val="3"/>
        <charset val="128"/>
      </rPr>
      <t>*</t>
    </r>
    <rPh sb="0" eb="1">
      <t>クニ</t>
    </rPh>
    <phoneticPr fontId="2"/>
  </si>
  <si>
    <r>
      <t>数量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スウリョウ</t>
    </rPh>
    <phoneticPr fontId="2"/>
  </si>
  <si>
    <r>
      <t>単価(税抜)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タンカ</t>
    </rPh>
    <rPh sb="3" eb="5">
      <t>ゼイヌ</t>
    </rPh>
    <phoneticPr fontId="2"/>
  </si>
  <si>
    <r>
      <t>税率(%)</t>
    </r>
    <r>
      <rPr>
        <sz val="12"/>
        <color rgb="FFFF0000"/>
        <rFont val="ＭＳ Ｐゴシック"/>
        <family val="2"/>
        <charset val="128"/>
        <scheme val="minor"/>
      </rPr>
      <t>*</t>
    </r>
    <rPh sb="0" eb="1">
      <t>ゼイ</t>
    </rPh>
    <rPh sb="1" eb="2">
      <t>リツ</t>
    </rPh>
    <phoneticPr fontId="2"/>
  </si>
  <si>
    <r>
      <rPr>
        <sz val="12"/>
        <color theme="0"/>
        <rFont val="ＭＳ Ｐゴシック"/>
        <family val="3"/>
        <charset val="128"/>
      </rPr>
      <t>ファイル</t>
    </r>
    <r>
      <rPr>
        <sz val="12"/>
        <color theme="0"/>
        <rFont val="Arial"/>
        <family val="2"/>
      </rPr>
      <t>ID</t>
    </r>
    <phoneticPr fontId="2"/>
  </si>
  <si>
    <r>
      <rPr>
        <sz val="12"/>
        <color theme="0"/>
        <rFont val="ＭＳ Ｐゴシック"/>
        <family val="3"/>
        <charset val="128"/>
      </rPr>
      <t>運送情報</t>
    </r>
    <rPh sb="0" eb="2">
      <t>ウンソウ</t>
    </rPh>
    <rPh sb="2" eb="4">
      <t>ジョウホウ</t>
    </rPh>
    <phoneticPr fontId="2"/>
  </si>
  <si>
    <r>
      <rPr>
        <sz val="12"/>
        <color theme="0"/>
        <rFont val="ＭＳ Ｐゴシック"/>
        <family val="3"/>
        <charset val="128"/>
      </rPr>
      <t>ノート</t>
    </r>
    <phoneticPr fontId="2"/>
  </si>
  <si>
    <r>
      <rPr>
        <sz val="12"/>
        <color theme="1"/>
        <rFont val="ＭＳ Ｐゴシック"/>
        <family val="3"/>
        <charset val="128"/>
      </rPr>
      <t>番号</t>
    </r>
    <r>
      <rPr>
        <sz val="12"/>
        <color theme="1"/>
        <rFont val="Arial"/>
        <family val="2"/>
      </rPr>
      <t>/ID</t>
    </r>
    <r>
      <rPr>
        <sz val="12"/>
        <color rgb="FFFF0000"/>
        <rFont val="Arial"/>
        <family val="2"/>
      </rPr>
      <t>*</t>
    </r>
    <rPh sb="0" eb="2">
      <t>バンゴウ</t>
    </rPh>
    <phoneticPr fontId="2"/>
  </si>
  <si>
    <r>
      <rPr>
        <sz val="12"/>
        <color theme="1"/>
        <rFont val="ＭＳ Ｐゴシック"/>
        <family val="3"/>
        <charset val="128"/>
      </rPr>
      <t>内容</t>
    </r>
    <r>
      <rPr>
        <sz val="12"/>
        <color rgb="FFFF0000"/>
        <rFont val="Arial"/>
        <family val="2"/>
      </rPr>
      <t>*</t>
    </r>
    <rPh sb="0" eb="2">
      <t>ナイヨウ</t>
    </rPh>
    <phoneticPr fontId="2"/>
  </si>
  <si>
    <r>
      <rPr>
        <sz val="12"/>
        <color theme="1"/>
        <rFont val="ＭＳ Ｐゴシック"/>
        <family val="3"/>
        <charset val="128"/>
      </rPr>
      <t>数量</t>
    </r>
    <r>
      <rPr>
        <sz val="12"/>
        <color rgb="FFFF0000"/>
        <rFont val="Arial"/>
        <family val="2"/>
      </rPr>
      <t>*</t>
    </r>
    <rPh sb="0" eb="2">
      <t>スウリョウ</t>
    </rPh>
    <phoneticPr fontId="2"/>
  </si>
  <si>
    <r>
      <rPr>
        <sz val="12"/>
        <color theme="1"/>
        <rFont val="ＭＳ Ｐゴシック"/>
        <family val="3"/>
        <charset val="128"/>
      </rPr>
      <t>単価</t>
    </r>
    <r>
      <rPr>
        <sz val="12"/>
        <color theme="1"/>
        <rFont val="Arial"/>
        <family val="2"/>
      </rPr>
      <t>(</t>
    </r>
    <r>
      <rPr>
        <sz val="12"/>
        <color theme="1"/>
        <rFont val="ＭＳ Ｐゴシック"/>
        <family val="3"/>
        <charset val="128"/>
      </rPr>
      <t>税抜</t>
    </r>
    <r>
      <rPr>
        <sz val="12"/>
        <color theme="1"/>
        <rFont val="Arial"/>
        <family val="2"/>
      </rPr>
      <t>)</t>
    </r>
    <r>
      <rPr>
        <sz val="12"/>
        <color rgb="FFFF0000"/>
        <rFont val="Arial"/>
        <family val="2"/>
      </rPr>
      <t>*</t>
    </r>
    <rPh sb="0" eb="2">
      <t>タンカ</t>
    </rPh>
    <rPh sb="3" eb="5">
      <t>ゼイヌ</t>
    </rPh>
    <phoneticPr fontId="2"/>
  </si>
  <si>
    <r>
      <rPr>
        <sz val="12"/>
        <color theme="1"/>
        <rFont val="ＭＳ Ｐゴシック"/>
        <family val="3"/>
        <charset val="128"/>
      </rPr>
      <t>税率</t>
    </r>
    <r>
      <rPr>
        <sz val="12"/>
        <color theme="1"/>
        <rFont val="Arial"/>
        <family val="2"/>
      </rPr>
      <t>(%)</t>
    </r>
    <r>
      <rPr>
        <sz val="12"/>
        <color rgb="FFFF0000"/>
        <rFont val="Arial"/>
        <family val="2"/>
      </rPr>
      <t>*</t>
    </r>
    <rPh sb="0" eb="1">
      <t>ゼイ</t>
    </rPh>
    <rPh sb="1" eb="2">
      <t>リツ</t>
    </rPh>
    <phoneticPr fontId="2"/>
  </si>
  <si>
    <r>
      <rPr>
        <sz val="12"/>
        <color theme="1"/>
        <rFont val="ＭＳ Ｐゴシック"/>
        <family val="3"/>
        <charset val="128"/>
      </rPr>
      <t>小計</t>
    </r>
    <r>
      <rPr>
        <sz val="12"/>
        <color theme="1"/>
        <rFont val="Arial"/>
        <family val="2"/>
      </rPr>
      <t>(</t>
    </r>
    <r>
      <rPr>
        <sz val="12"/>
        <color theme="1"/>
        <rFont val="ＭＳ Ｐゴシック"/>
        <family val="3"/>
        <charset val="128"/>
      </rPr>
      <t>税抜</t>
    </r>
    <r>
      <rPr>
        <sz val="12"/>
        <color theme="1"/>
        <rFont val="Arial"/>
        <family val="2"/>
      </rPr>
      <t>)</t>
    </r>
    <r>
      <rPr>
        <sz val="12"/>
        <color rgb="FFFF0000"/>
        <rFont val="Arial"/>
        <family val="2"/>
      </rPr>
      <t>*</t>
    </r>
    <rPh sb="0" eb="2">
      <t>ショウケイ</t>
    </rPh>
    <rPh sb="3" eb="5">
      <t>ゼイヌ</t>
    </rPh>
    <phoneticPr fontId="2"/>
  </si>
  <si>
    <r>
      <rPr>
        <sz val="12"/>
        <color theme="1"/>
        <rFont val="ＭＳ Ｐゴシック"/>
        <family val="3"/>
        <charset val="128"/>
      </rPr>
      <t>割引</t>
    </r>
    <r>
      <rPr>
        <sz val="12"/>
        <color theme="1"/>
        <rFont val="Arial"/>
        <family val="2"/>
      </rPr>
      <t>(%)</t>
    </r>
    <rPh sb="0" eb="2">
      <t>ワリビキ</t>
    </rPh>
    <phoneticPr fontId="2"/>
  </si>
  <si>
    <r>
      <rPr>
        <sz val="12"/>
        <color theme="1"/>
        <rFont val="ＭＳ Ｐゴシック"/>
        <family val="3"/>
        <charset val="128"/>
      </rPr>
      <t>割引</t>
    </r>
    <r>
      <rPr>
        <sz val="12"/>
        <color theme="1"/>
        <rFont val="Arial"/>
        <family val="2"/>
      </rPr>
      <t>(</t>
    </r>
    <r>
      <rPr>
        <sz val="12"/>
        <color theme="1"/>
        <rFont val="ＭＳ Ｐゴシック"/>
        <family val="3"/>
        <charset val="128"/>
      </rPr>
      <t>金額</t>
    </r>
    <r>
      <rPr>
        <sz val="12"/>
        <color theme="1"/>
        <rFont val="Arial"/>
        <family val="2"/>
      </rPr>
      <t>)</t>
    </r>
    <rPh sb="0" eb="2">
      <t>ワリビキ</t>
    </rPh>
    <rPh sb="3" eb="5">
      <t>キンガク</t>
    </rPh>
    <phoneticPr fontId="2"/>
  </si>
  <si>
    <r>
      <rPr>
        <sz val="12"/>
        <color theme="1"/>
        <rFont val="ＭＳ Ｐゴシック"/>
        <family val="3"/>
        <charset val="128"/>
      </rPr>
      <t>割引説明</t>
    </r>
    <rPh sb="0" eb="2">
      <t>ワリビキ</t>
    </rPh>
    <rPh sb="2" eb="4">
      <t>セツメイ</t>
    </rPh>
    <phoneticPr fontId="2"/>
  </si>
  <si>
    <r>
      <rPr>
        <sz val="12"/>
        <color theme="1"/>
        <rFont val="ＭＳ Ｐゴシック"/>
        <family val="3"/>
        <charset val="128"/>
      </rPr>
      <t>注文書番号</t>
    </r>
    <rPh sb="0" eb="3">
      <t>チュウモンショ</t>
    </rPh>
    <rPh sb="3" eb="5">
      <t>バンゴウ</t>
    </rPh>
    <phoneticPr fontId="2"/>
  </si>
  <si>
    <r>
      <rPr>
        <sz val="12"/>
        <color theme="1"/>
        <rFont val="ＭＳ Ｐゴシック"/>
        <family val="3"/>
        <charset val="128"/>
      </rPr>
      <t>注文書明細番号</t>
    </r>
    <rPh sb="0" eb="3">
      <t>チュウモンショ</t>
    </rPh>
    <rPh sb="3" eb="5">
      <t>メイサイ</t>
    </rPh>
    <rPh sb="5" eb="7">
      <t>バンゴウ</t>
    </rPh>
    <phoneticPr fontId="2"/>
  </si>
  <si>
    <r>
      <rPr>
        <sz val="12"/>
        <color theme="1"/>
        <rFont val="ＭＳ Ｐゴシック"/>
        <family val="3"/>
        <charset val="128"/>
      </rPr>
      <t>運送情報</t>
    </r>
    <rPh sb="0" eb="2">
      <t>ウンソウ</t>
    </rPh>
    <rPh sb="2" eb="4">
      <t>ジョウホウ</t>
    </rPh>
    <phoneticPr fontId="2"/>
  </si>
  <si>
    <r>
      <t>tradeshift.</t>
    </r>
    <r>
      <rPr>
        <sz val="12"/>
        <color theme="1"/>
        <rFont val="Arial"/>
        <family val="2"/>
      </rPr>
      <t>invoice</t>
    </r>
    <r>
      <rPr>
        <sz val="12"/>
        <color theme="1"/>
        <rFont val="Arial"/>
        <family val="2"/>
      </rPr>
      <t>.1.0</t>
    </r>
    <phoneticPr fontId="2"/>
  </si>
  <si>
    <t>税</t>
    <rPh sb="0" eb="1">
      <t>ゼイ</t>
    </rPh>
    <phoneticPr fontId="2"/>
  </si>
  <si>
    <t>消費税</t>
    <rPh sb="0" eb="3">
      <t>ショウヒゼイ</t>
    </rPh>
    <phoneticPr fontId="2"/>
  </si>
  <si>
    <t>出力値</t>
    <rPh sb="0" eb="2">
      <t>シュツリョク</t>
    </rPh>
    <rPh sb="2" eb="3">
      <t>アタイ</t>
    </rPh>
    <phoneticPr fontId="2"/>
  </si>
  <si>
    <t>消費税名</t>
    <rPh sb="0" eb="3">
      <t>ショウヒゼイ</t>
    </rPh>
    <rPh sb="3" eb="4">
      <t>メイ</t>
    </rPh>
    <phoneticPr fontId="2"/>
  </si>
  <si>
    <t>消費税コード</t>
    <rPh sb="0" eb="3">
      <t>ショウヒゼイ</t>
    </rPh>
    <phoneticPr fontId="2"/>
  </si>
  <si>
    <t>Z</t>
    <phoneticPr fontId="2"/>
  </si>
  <si>
    <t>S</t>
    <phoneticPr fontId="2"/>
  </si>
  <si>
    <t>普通</t>
    <rPh sb="0" eb="2">
      <t>フツウ</t>
    </rPh>
    <phoneticPr fontId="2"/>
  </si>
  <si>
    <t>科目</t>
  </si>
  <si>
    <t>口座種別（科目）</t>
    <rPh sb="0" eb="2">
      <t>コウザ</t>
    </rPh>
    <rPh sb="2" eb="4">
      <t>シュベツ</t>
    </rPh>
    <phoneticPr fontId="2"/>
  </si>
  <si>
    <t>General</t>
    <phoneticPr fontId="2"/>
  </si>
  <si>
    <t>IdentificationCode</t>
  </si>
  <si>
    <t>国</t>
    <rPh sb="0" eb="1">
      <t>クニ</t>
    </rPh>
    <phoneticPr fontId="2"/>
  </si>
  <si>
    <t>コード</t>
    <phoneticPr fontId="2"/>
  </si>
  <si>
    <t>JP</t>
    <phoneticPr fontId="2"/>
  </si>
  <si>
    <t>テナントID</t>
    <phoneticPr fontId="2"/>
  </si>
  <si>
    <r>
      <rPr>
        <sz val="12"/>
        <color theme="0"/>
        <rFont val="ＭＳ Ｐゴシック"/>
        <family val="3"/>
        <charset val="128"/>
      </rPr>
      <t>テナント</t>
    </r>
    <r>
      <rPr>
        <sz val="12"/>
        <color theme="0"/>
        <rFont val="Arial"/>
        <family val="2"/>
      </rPr>
      <t>ID</t>
    </r>
    <phoneticPr fontId="2"/>
  </si>
  <si>
    <t>PAYMENT_MEANS_CODE</t>
    <phoneticPr fontId="2"/>
  </si>
  <si>
    <t>単位</t>
    <rPh sb="0" eb="2">
      <t>タンイ</t>
    </rPh>
    <phoneticPr fontId="2"/>
  </si>
  <si>
    <t>割引</t>
    <rPh sb="0" eb="2">
      <t>ワリビキ</t>
    </rPh>
    <phoneticPr fontId="2"/>
  </si>
  <si>
    <t>消費税 10%</t>
    <rPh sb="0" eb="3">
      <t>ショウヒゼイ</t>
    </rPh>
    <phoneticPr fontId="2"/>
  </si>
  <si>
    <t>S</t>
    <phoneticPr fontId="2"/>
  </si>
  <si>
    <t>消費税 2.1%</t>
    <rPh sb="0" eb="3">
      <t>ショウヒゼイ</t>
    </rPh>
    <phoneticPr fontId="2"/>
  </si>
  <si>
    <t>Current</t>
    <phoneticPr fontId="2"/>
  </si>
  <si>
    <t>当座</t>
    <rPh sb="0" eb="2">
      <t>トウザ</t>
    </rPh>
    <phoneticPr fontId="2"/>
  </si>
  <si>
    <t>JP 消費税 8%</t>
    <rPh sb="3" eb="6">
      <t>ショウヒゼイ</t>
    </rPh>
    <phoneticPr fontId="2"/>
  </si>
  <si>
    <t>JP 源泉所得税 10%</t>
    <rPh sb="3" eb="5">
      <t>ゲンセン</t>
    </rPh>
    <rPh sb="5" eb="8">
      <t>ショトクゼイ</t>
    </rPh>
    <phoneticPr fontId="2"/>
  </si>
  <si>
    <t>JP 非課税 0%</t>
    <rPh sb="3" eb="6">
      <t>ヒカゼイ</t>
    </rPh>
    <phoneticPr fontId="2"/>
  </si>
  <si>
    <t>JP 復興特別所得税額 2.1%</t>
    <rPh sb="3" eb="5">
      <t>フッコウ</t>
    </rPh>
    <rPh sb="5" eb="7">
      <t>トクベツ</t>
    </rPh>
    <rPh sb="7" eb="10">
      <t>ショトクゼイ</t>
    </rPh>
    <rPh sb="10" eb="11">
      <t>ガク</t>
    </rPh>
    <phoneticPr fontId="2"/>
  </si>
  <si>
    <t>パック</t>
    <phoneticPr fontId="2"/>
  </si>
  <si>
    <t>時間</t>
    <rPh sb="0" eb="2">
      <t>ジカン</t>
    </rPh>
    <phoneticPr fontId="2"/>
  </si>
  <si>
    <t>リットル</t>
    <phoneticPr fontId="2"/>
  </si>
  <si>
    <t>キログラム</t>
    <phoneticPr fontId="2"/>
  </si>
  <si>
    <t>コストセンター</t>
    <phoneticPr fontId="2"/>
  </si>
  <si>
    <t>入力値に誤りがあります。詳しくはログシートをご確認ください。</t>
  </si>
  <si>
    <t>エラーが発生しました。システム管理者へご連絡ください。</t>
  </si>
  <si>
    <t>INFO</t>
  </si>
  <si>
    <t>&lt;?xml version="1.0" encoding="UTF-8"?&gt;</t>
  </si>
  <si>
    <t>&lt;Invoice xmlns="urn:oasis:names:specification:ubl:schema:xsd:Invoice-2" xmlns:cac="urn:oasis:names:specification:ubl:schema:xsd:CommonAggregateComponents-2" xmlns:cbc="urn:oasis:names:specification:ubl:schema:xsd:CommonBasicComponents-2" xmlns:ccts="urn:oasis:names:specification:ubl:schema:xsd:CoreComponentParameters-2" xmlns:ext="urn:oasis:names:specification:ubl:schema:xsd:CommonExtensionComponents-2" xmlns:ns7="urn:oasis:names:specification:ubl:schema:xsd:Invoice-2" xmlns:sdt="urn:oasis:names:specification:ubl:schema:xsd:SpecializedDatatypes-2" xmlns:udt="urn:un:unece:uncefact:data:specification:UnqualifiedDataTypesSchemaModule:2"&gt;</t>
  </si>
  <si>
    <t>&lt;cbc:UBLVersionID&gt;2.0&lt;/cbc:UBLVersionID&gt;</t>
  </si>
  <si>
    <t>&lt;cbc:CustomizationID&gt;urn:tradeshift.com:ubl-2.0-customizations:2010-06&lt;/cbc:CustomizationID&gt;</t>
  </si>
  <si>
    <t>&lt;cbc:ProfileID schemeAgencyID="CEN/ISSS WS/BII" schemeID="CWA 16073:2010" schemeVersionID="1"&gt;urn:www.cenbii.eu:profile:bii04:ver1.0&lt;/cbc:ProfileID&gt;</t>
  </si>
  <si>
    <t>&lt;cbc:InvoiceTypeCode listAgencyID="6" listID="UN/ECE 1001 Subset" listVersionID="D08B"&gt;380&lt;/cbc:InvoiceTypeCode&gt;</t>
  </si>
  <si>
    <t>&lt;cbc:DocumentCurrencyCode&gt;JPY&lt;/cbc:DocumentCurrencyCode&gt;</t>
  </si>
  <si>
    <t>&lt;cac:AdditionalDocumentReference&gt;</t>
  </si>
  <si>
    <t>&lt;cbc:ID&gt;DOWN&lt;/cbc:ID&gt;</t>
  </si>
  <si>
    <t>&lt;cbc:DocumentTypeCode listID="urn:tradeshift.com:api:1.0:documenttypecode"&gt;RoundingRule&lt;/cbc:DocumentTypeCode&gt;</t>
  </si>
  <si>
    <t>&lt;/cac:AdditionalDocumentReference&gt;</t>
  </si>
  <si>
    <t>&lt;cac:AccountingSupplierParty&gt;</t>
  </si>
  <si>
    <t>&lt;cac:Party&gt;</t>
  </si>
  <si>
    <t>&lt;cac:PartyIdentification&gt;</t>
  </si>
  <si>
    <t>&lt;cbc:ID schemeID="TS:ID"&gt;fbc26d07-fe77-496a-86b9-bbfb5b81cfe4&lt;/cbc:ID&gt;</t>
  </si>
  <si>
    <t>&lt;/cac:PartyIdentification&gt;</t>
  </si>
  <si>
    <t>&lt;cac:PartyName&gt;</t>
  </si>
  <si>
    <t>&lt;cbc:Name&gt;青山ロジスティクス株式会社&lt;/cbc:Name&gt;</t>
  </si>
  <si>
    <t>&lt;/cac:PartyName&gt;</t>
  </si>
  <si>
    <t>&lt;cac:PostalAddress&gt;</t>
  </si>
  <si>
    <t>&lt;cbc:AddressFormatCode listAgencyID="6" listID="UN/ECE 3477" listVersionID="D08B"&gt;5&lt;/cbc:AddressFormatCode&gt;</t>
  </si>
  <si>
    <t>&lt;cbc:StreetName&gt;港区芝公園2丁目11番1号&lt;/cbc:StreetName&gt;</t>
  </si>
  <si>
    <t>&lt;cbc:AdditionalStreetName&gt;住友不動産芝公園タワー&lt;/cbc:AdditionalStreetName&gt;</t>
  </si>
  <si>
    <t>&lt;cbc:BuildingNumber/&gt;</t>
  </si>
  <si>
    <t>&lt;cbc:CityName&gt;東京都&lt;/cbc:CityName&gt;</t>
  </si>
  <si>
    <t>&lt;cbc:PostalZone&gt;105-0011&lt;/cbc:PostalZone&gt;</t>
  </si>
  <si>
    <t>&lt;cac:Country&gt;</t>
  </si>
  <si>
    <t>&lt;cbc:IdentificationCode&gt;JP&lt;/cbc:IdentificationCode&gt;</t>
  </si>
  <si>
    <t>&lt;/cac:Country&gt;</t>
  </si>
  <si>
    <t>&lt;/cac:PostalAddress&gt;</t>
  </si>
  <si>
    <t>&lt;/cac:Party&gt;</t>
  </si>
  <si>
    <t>&lt;/cac:AccountingSupplierParty&gt;</t>
  </si>
  <si>
    <t>&lt;cac:AccountingCustomerParty&gt;</t>
  </si>
  <si>
    <t>&lt;cbc:ID schemeID="TS:ID"&gt;fd72abf1-5dbf-4c55-93e4-7a9bcc7f2900&lt;/cbc:ID&gt;</t>
  </si>
  <si>
    <t>&lt;cbc:Name&gt;石橋タイヤ&lt;/cbc:Name&gt;</t>
  </si>
  <si>
    <t>&lt;cbc:StreetName&gt;中央区銀座1-1&lt;/cbc:StreetName&gt;</t>
  </si>
  <si>
    <t>&lt;cbc:PostalZone&gt;104-0061&lt;/cbc:PostalZone&gt;</t>
  </si>
  <si>
    <t>&lt;cac:Contact&gt;</t>
  </si>
  <si>
    <t>&lt;cbc:ID&gt;担当者メールアドレス&lt;/cbc:ID&gt;</t>
  </si>
  <si>
    <t>&lt;/cac:Contact&gt;</t>
  </si>
  <si>
    <t>&lt;/cac:AccountingCustomerParty&gt;</t>
  </si>
  <si>
    <t>&lt;cac:PaymentMeans&gt;</t>
  </si>
  <si>
    <t>&lt;cbc:PaymentMeansCode listID="urn:tradeshift.com:api:1.0:paymentmeanscode"&gt;42&lt;/cbc:PaymentMeansCode&gt;</t>
  </si>
  <si>
    <t>&lt;cbc:PaymentChannelCode listID="urn:tradeshift.com:api:1.0:paymentchannelcode"&gt;JP:BANK&lt;/cbc:PaymentChannelCode&gt;</t>
  </si>
  <si>
    <t>&lt;cac:PayeeFinancialAccount&gt;</t>
  </si>
  <si>
    <t>&lt;cbc:ID&gt;1234567&lt;/cbc:ID&gt;</t>
  </si>
  <si>
    <t>&lt;cbc:Name&gt;ユウセン(カ&lt;/cbc:Name&gt;</t>
  </si>
  <si>
    <t>&lt;cbc:AccountTypeCode&gt;General&lt;/cbc:AccountTypeCode&gt;</t>
  </si>
  <si>
    <t>&lt;cac:FinancialInstitutionBranch&gt;</t>
  </si>
  <si>
    <t>&lt;cbc:Name&gt;青山支店&lt;/cbc:Name&gt;</t>
  </si>
  <si>
    <t>&lt;cac:FinancialInstitution&gt;</t>
  </si>
  <si>
    <t>&lt;cbc:Name&gt;トレード銀行&lt;/cbc:Name&gt;</t>
  </si>
  <si>
    <t>&lt;/cac:FinancialInstitution&gt;</t>
  </si>
  <si>
    <t>&lt;/cac:FinancialInstitutionBranch&gt;</t>
  </si>
  <si>
    <t>&lt;/cac:PayeeFinancialAccount&gt;</t>
  </si>
  <si>
    <t>&lt;/cac:PaymentMeans&gt;</t>
  </si>
  <si>
    <t>&lt;cbc:ID&gt;1&lt;/cbc:ID&gt;</t>
  </si>
  <si>
    <t>&lt;cac:TaxCategory&gt;</t>
  </si>
  <si>
    <t>&lt;cbc:ID schemeAgencyID="6" schemeID="UN/ECE 5305" schemeVersionID="D08B"&gt;S&lt;/cbc:ID&gt;</t>
  </si>
  <si>
    <t>&lt;cac:TaxScheme&gt;</t>
  </si>
  <si>
    <t>&lt;cbc:ID schemeAgencyID="6" schemeID="UN/ECE 5153 Subset" schemeVersionID="D08B"&gt;VAT&lt;/cbc:ID&gt;</t>
  </si>
  <si>
    <t>&lt;/cac:TaxScheme&gt;</t>
  </si>
  <si>
    <t>&lt;/cac:TaxCategory&gt;</t>
  </si>
  <si>
    <t>&lt;cac:TaxTotal&gt;</t>
  </si>
  <si>
    <t>&lt;/cac:TaxTotal&gt;</t>
  </si>
  <si>
    <t>&lt;cac:TaxSubtotal&gt;</t>
  </si>
  <si>
    <t>&lt;/cac:TaxSubtotal&gt;</t>
  </si>
  <si>
    <t>&lt;cac:LegalMonetaryTotal&gt;</t>
  </si>
  <si>
    <t>&lt;/cac:LegalMonetaryTotal&gt;</t>
  </si>
  <si>
    <t>&lt;cac:InvoiceLine&gt;</t>
  </si>
  <si>
    <t>&lt;cac:Item&gt;</t>
  </si>
  <si>
    <t>&lt;cac:SellersItemIdentification&gt;</t>
  </si>
  <si>
    <t>&lt;/cac:SellersItemIdentification&gt;</t>
  </si>
  <si>
    <t>&lt;/cac:Item&gt;</t>
  </si>
  <si>
    <t>&lt;cac:Price&gt;</t>
  </si>
  <si>
    <t>&lt;cbc:BaseQuantity unitCode="EA"&gt;1&lt;/cbc:BaseQuantity&gt;</t>
  </si>
  <si>
    <t>&lt;cbc:OrderableUnitFactorRate&gt;1&lt;/cbc:OrderableUnitFactorRate&gt;</t>
  </si>
  <si>
    <t>&lt;/cac:Price&gt;</t>
  </si>
  <si>
    <t>&lt;/cac:InvoiceLine&gt;</t>
  </si>
  <si>
    <t>&lt;/Invoice&gt;</t>
  </si>
  <si>
    <t>&lt;cbc:InvoicedQuantity unitCode="EA"&gt;1&lt;/cbc:InvoicedQuantity&gt;</t>
  </si>
  <si>
    <t>CREATE_ERR</t>
    <phoneticPr fontId="2"/>
  </si>
  <si>
    <t>INPUT_ERR</t>
    <phoneticPr fontId="2"/>
  </si>
  <si>
    <t>SYSTEM_ERR</t>
    <phoneticPr fontId="2"/>
  </si>
  <si>
    <t>CLEAR_INVOICE</t>
    <phoneticPr fontId="2"/>
  </si>
  <si>
    <t>VALIDATOR</t>
    <phoneticPr fontId="2"/>
  </si>
  <si>
    <t>COPY_INVOICE</t>
    <phoneticPr fontId="2"/>
  </si>
  <si>
    <t>CREATE_UBL</t>
    <phoneticPr fontId="2"/>
  </si>
  <si>
    <t>CLEAR_XML</t>
    <phoneticPr fontId="2"/>
  </si>
  <si>
    <t>CHECK_HEDER</t>
    <phoneticPr fontId="2"/>
  </si>
  <si>
    <t>CHECK_MASTER</t>
    <phoneticPr fontId="2"/>
  </si>
  <si>
    <t>SESSION_TS</t>
    <phoneticPr fontId="2"/>
  </si>
  <si>
    <t>SEND_SUCCESS</t>
    <phoneticPr fontId="2"/>
  </si>
  <si>
    <t>CREATE_SUCCESS</t>
    <phoneticPr fontId="2"/>
  </si>
  <si>
    <t>CLEAR_LOG</t>
    <phoneticPr fontId="2"/>
  </si>
  <si>
    <t>START</t>
    <phoneticPr fontId="2"/>
  </si>
  <si>
    <t>END</t>
    <phoneticPr fontId="2"/>
  </si>
  <si>
    <t>請求書データシート　値クリア</t>
    <rPh sb="0" eb="3">
      <t>セイキュウショ</t>
    </rPh>
    <rPh sb="10" eb="11">
      <t>アタイ</t>
    </rPh>
    <phoneticPr fontId="2"/>
  </si>
  <si>
    <t>ログシート　値クリア</t>
    <rPh sb="6" eb="7">
      <t>アタイ</t>
    </rPh>
    <phoneticPr fontId="2"/>
  </si>
  <si>
    <t>入力チェック</t>
    <phoneticPr fontId="2"/>
  </si>
  <si>
    <t>請求書データへ値コピー</t>
    <rPh sb="0" eb="2">
      <t>セイキュウ</t>
    </rPh>
    <rPh sb="2" eb="3">
      <t>ショ</t>
    </rPh>
    <rPh sb="7" eb="8">
      <t>アタイ</t>
    </rPh>
    <phoneticPr fontId="2"/>
  </si>
  <si>
    <r>
      <t>UBL</t>
    </r>
    <r>
      <rPr>
        <sz val="12"/>
        <color theme="1"/>
        <rFont val="ＭＳ Ｐゴシック"/>
        <family val="3"/>
        <charset val="128"/>
      </rPr>
      <t>情報生成処理</t>
    </r>
    <rPh sb="3" eb="5">
      <t>ジョウホウ</t>
    </rPh>
    <rPh sb="5" eb="7">
      <t>セイセイ</t>
    </rPh>
    <rPh sb="7" eb="9">
      <t>ショリ</t>
    </rPh>
    <phoneticPr fontId="2"/>
  </si>
  <si>
    <t>XMLシート　値クリア</t>
    <rPh sb="7" eb="8">
      <t>アタイ</t>
    </rPh>
    <phoneticPr fontId="2"/>
  </si>
  <si>
    <r>
      <t>Tradeshift</t>
    </r>
    <r>
      <rPr>
        <sz val="12"/>
        <color theme="1"/>
        <rFont val="ＭＳ Ｐゴシック"/>
        <family val="3"/>
        <charset val="128"/>
      </rPr>
      <t>接続</t>
    </r>
    <rPh sb="10" eb="12">
      <t>セツゾク</t>
    </rPh>
    <phoneticPr fontId="2"/>
  </si>
  <si>
    <t>ヘッダー入力チェック</t>
    <rPh sb="4" eb="6">
      <t>ニュウリョク</t>
    </rPh>
    <phoneticPr fontId="2"/>
  </si>
  <si>
    <t>マスターシート入力チェック</t>
    <rPh sb="7" eb="9">
      <t>ニュウリョク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</si>
  <si>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</si>
  <si>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</si>
  <si>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 xml:space="preserve"> 請求書データシート　値クリア 開始</t>
  </si>
  <si>
    <t xml:space="preserve"> 請求書データシート　値クリア 終了</t>
  </si>
  <si>
    <t xml:space="preserve"> ログシート　値クリア 開始</t>
  </si>
  <si>
    <t xml:space="preserve"> ログシート　値クリア 終了</t>
  </si>
  <si>
    <t xml:space="preserve"> 入力チェック 開始</t>
  </si>
  <si>
    <t xml:space="preserve"> ヘッダー入力チェック 開始</t>
  </si>
  <si>
    <t xml:space="preserve"> ヘッダー入力チェック 終了</t>
  </si>
  <si>
    <t xml:space="preserve"> 入力チェック 終了</t>
  </si>
  <si>
    <t>CHECK_ROWS</t>
  </si>
  <si>
    <t>CREATE_SIGNATURE</t>
    <phoneticPr fontId="2"/>
  </si>
  <si>
    <t>CONNECT_CREATE_INVOICEDATA_FAILED</t>
    <phoneticPr fontId="2"/>
  </si>
  <si>
    <t>CONNECT_CREATE_INVOICEDATA</t>
    <phoneticPr fontId="2"/>
  </si>
  <si>
    <t>入力チェック : 行</t>
    <rPh sb="0" eb="2">
      <t>ニュウリョク</t>
    </rPh>
    <rPh sb="9" eb="10">
      <t>ギョウ</t>
    </rPh>
    <phoneticPr fontId="2"/>
  </si>
  <si>
    <t>OAuth2認証 (HMAC-SHA1)</t>
    <rPh sb="6" eb="8">
      <t>ニンショウ</t>
    </rPh>
    <phoneticPr fontId="2"/>
  </si>
  <si>
    <t>TradeshiftAPI接続</t>
    <rPh sb="13" eb="15">
      <t>セツゾク</t>
    </rPh>
    <phoneticPr fontId="2"/>
  </si>
  <si>
    <t>TradeshiftAPI接続失敗</t>
    <rPh sb="13" eb="15">
      <t>セツゾク</t>
    </rPh>
    <rPh sb="15" eb="17">
      <t>シッパイ</t>
    </rPh>
    <phoneticPr fontId="2"/>
  </si>
  <si>
    <t>VALIDATOR_ERR</t>
    <phoneticPr fontId="2"/>
  </si>
  <si>
    <t>Validator Error -&gt;</t>
    <phoneticPr fontId="2"/>
  </si>
  <si>
    <t>COLUMN</t>
    <phoneticPr fontId="2"/>
  </si>
  <si>
    <t>REQUIRED</t>
    <phoneticPr fontId="2"/>
  </si>
  <si>
    <t>required</t>
    <phoneticPr fontId="2"/>
  </si>
  <si>
    <t>IS_NOT_NUMERIC</t>
    <phoneticPr fontId="2"/>
  </si>
  <si>
    <t>is not Numeric</t>
    <phoneticPr fontId="2"/>
  </si>
  <si>
    <t>IS_NOT_MINUS</t>
    <phoneticPr fontId="2"/>
  </si>
  <si>
    <t>is not Minus</t>
    <phoneticPr fontId="2"/>
  </si>
  <si>
    <t>IS_NOT_PLUS</t>
    <phoneticPr fontId="2"/>
  </si>
  <si>
    <t>is not Plus</t>
    <phoneticPr fontId="2"/>
  </si>
  <si>
    <t>&lt;cbc:IssueDate&gt;2015-08-03&lt;/cbc:IssueDate&gt;</t>
  </si>
  <si>
    <t>&lt;cbc:Percent&gt;8&lt;/cbc:Percent&gt;</t>
  </si>
  <si>
    <t>&lt;cbc:Name&gt;JP 消費税 8%&lt;/cbc:Name&gt;</t>
  </si>
  <si>
    <t>&lt;cbc:Description&gt;いす&lt;/cbc:Description&gt;</t>
  </si>
  <si>
    <t>&lt;cbc:Name&gt;いす&lt;/cbc:Name&gt;</t>
  </si>
  <si>
    <t>&lt;cbc:ID schemeAgencyID="9" schemeID="GTIN"&gt;項目1&lt;/cbc:ID&gt;</t>
  </si>
  <si>
    <t>&lt;cac:DocumentReference&gt;</t>
  </si>
  <si>
    <t>&lt;/cac:DocumentReference&gt;</t>
  </si>
  <si>
    <t>&lt;cbc:TaxAmount currencyID="JPY"&gt;40&lt;/cbc:TaxAmount&gt;</t>
  </si>
  <si>
    <t>&lt;cbc:TaxableAmount currencyID="JPY"&gt;500&lt;/cbc:TaxableAmount&gt;</t>
  </si>
  <si>
    <t>&lt;cbc:LineExtensionAmount currencyID="JPY"&gt;500&lt;/cbc:LineExtensionAmount&gt;</t>
  </si>
  <si>
    <t>&lt;cbc:ID&gt;1000&lt;/cbc:ID&gt;</t>
  </si>
  <si>
    <t>&lt;cbc:DocumentTypeCode listID="urn:tradeshift.com:api:1.0:documenttypecode"&gt;LinePrice&lt;/cbc:DocumentTypeCode&gt;</t>
  </si>
  <si>
    <t>&lt;cac:AllowanceCharge&gt;</t>
  </si>
  <si>
    <t>&lt;cbc:ChargeIndicator&gt;false&lt;/cbc:ChargeIndicator&gt;</t>
  </si>
  <si>
    <t>&lt;cbc:MultiplierFactorNumeric&gt;0.5&lt;/cbc:MultiplierFactorNumeric&gt;</t>
  </si>
  <si>
    <t>&lt;cbc:SequenceNumeric&gt;2&lt;/cbc:SequenceNumeric&gt;</t>
  </si>
  <si>
    <t>&lt;cbc:Amount currencyID="JPY"&gt;500&lt;/cbc:Amount&gt;</t>
  </si>
  <si>
    <t>&lt;/cac:AllowanceCharge&gt;</t>
  </si>
  <si>
    <t>&lt;cbc:PriceAmount currencyID="JPY"&gt;500&lt;/cbc:PriceAmount&gt;</t>
  </si>
  <si>
    <t>&lt;cbc:MultiplierFactorNumeric&gt;0.1&lt;/cbc:MultiplierFactorNumeric&gt;</t>
  </si>
  <si>
    <t>&lt;cbc:ID schemeAgencyID="6" schemeID="UN/ECE 5305" schemeVersionID="D08B"&gt;Z&lt;/cbc:ID&gt;</t>
  </si>
  <si>
    <t>&lt;cbc:Percent&gt;0&lt;/cbc:Percent&gt;</t>
  </si>
  <si>
    <t>&lt;cbc:Name&gt;JP 非課税 0%&lt;/cbc:Name&gt;</t>
  </si>
  <si>
    <t>&lt;cbc:TaxAmount currencyID="JPY"&gt;0&lt;/cbc:TaxAmount&gt;</t>
  </si>
  <si>
    <t>&lt;cbc:TaxAmount currencyID="JPY"&gt;80&lt;/cbc:TaxAmount&gt;</t>
  </si>
  <si>
    <t>&lt;cbc:PaymentDueDate&gt;2015-08-06&lt;/cbc:PaymentDueDate&gt;</t>
  </si>
  <si>
    <t>&lt;cbc:AllowanceChargeReason&gt;せつめい&lt;/cbc:AllowanceChargeReason&gt;</t>
  </si>
  <si>
    <t>&lt;cbc:TaxableAmount currencyID="JPY"&gt;800&lt;/cbc:TaxableAmount&gt;</t>
  </si>
  <si>
    <t>&lt;cbc:Percent&gt;10&lt;/cbc:Percent&gt;</t>
  </si>
  <si>
    <t>&lt;cbc:Name&gt;JP 源泉所得税 10%&lt;/cbc:Name&gt;</t>
  </si>
  <si>
    <t>&lt;cbc:LineExtensionAmount currencyID="JPY"&gt;1300&lt;/cbc:LineExtensionAmount&gt;</t>
  </si>
  <si>
    <t>&lt;cbc:ID&gt;2&lt;/cbc:ID&gt;</t>
  </si>
  <si>
    <t>&lt;cbc:LineExtensionAmount currencyID="JPY"&gt;800&lt;/cbc:LineExtensionAmount&gt;</t>
  </si>
  <si>
    <t>&lt;cbc:AllowanceChargeReason&gt;やすい&lt;/cbc:AllowanceChargeReason&gt;</t>
  </si>
  <si>
    <t>&lt;cbc:MultiplierFactorNumeric&gt;0.2&lt;/cbc:MultiplierFactorNumeric&gt;</t>
  </si>
  <si>
    <t>&lt;cbc:Amount currencyID="JPY"&gt;200&lt;/cbc:Amount&gt;</t>
  </si>
  <si>
    <t>&lt;cbc:Description&gt;つくえ&lt;/cbc:Description&gt;</t>
  </si>
  <si>
    <t>&lt;cbc:Name&gt;つくえ&lt;/cbc:Name&gt;</t>
  </si>
  <si>
    <t>&lt;cbc:ID schemeAgencyID="9" schemeID="GTIN"&gt;項目2&lt;/cbc:ID&gt;</t>
  </si>
  <si>
    <t>&lt;cbc:PriceAmount currencyID="JPY"&gt;800&lt;/cbc:PriceAmount&gt;</t>
  </si>
  <si>
    <t>&lt;cbc:AllowanceChargeReason&gt;わりびくます&lt;/cbc:AllowanceChargeReason&gt;</t>
  </si>
  <si>
    <t>&lt;cbc:Amount currencyID="JPY"&gt;650&lt;/cbc:Amount&gt;</t>
  </si>
  <si>
    <t>&lt;cbc:TaxableAmount currencyID="JPY"&gt;-650&lt;/cbc:TaxableAmount&gt;</t>
  </si>
  <si>
    <t>&lt;cbc:Note&gt;ノートン&lt;/cbc:Note&gt;</t>
  </si>
  <si>
    <t>&lt;cbc:AllowanceChargeReason&gt;わるで&lt;/cbc:AllowanceChargeReason&gt;</t>
  </si>
  <si>
    <t>&lt;cbc:SequenceNumeric&gt;3&lt;/cbc:SequenceNumeric&gt;</t>
  </si>
  <si>
    <t>&lt;cbc:Amount currencyID="JPY"&gt;130&lt;/cbc:Amount&gt;</t>
  </si>
  <si>
    <t>&lt;cbc:Percent&gt;2.1&lt;/cbc:Percent&gt;</t>
  </si>
  <si>
    <t>&lt;cbc:Name&gt;JP 復興特別所得税額 2.1%&lt;/cbc:Name&gt;</t>
  </si>
  <si>
    <t>&lt;cbc:TaxAmount currencyID="JPY"&gt;-2&lt;/cbc:TaxAmount&gt;</t>
  </si>
  <si>
    <t>&lt;cbc:TaxAmount currencyID="JPY"&gt;117&lt;/cbc:TaxAmount&gt;</t>
  </si>
  <si>
    <t>&lt;cbc:TaxableAmount currencyID="JPY"&gt;-130&lt;/cbc:TaxableAmount&gt;</t>
  </si>
  <si>
    <t>&lt;cbc:TaxExclusiveAmount currencyID="JPY"&gt;117&lt;/cbc:TaxExclusiveAmount&gt;</t>
  </si>
  <si>
    <t>&lt;cbc:TaxInclusiveAmount currencyID="JPY"&gt;637&lt;/cbc:TaxInclusiveAmount&gt;</t>
  </si>
  <si>
    <t>&lt;cbc:AllowanceTotalAmount currencyID="JPY"&gt;780&lt;/cbc:AllowanceTotalAmount&gt;</t>
  </si>
  <si>
    <t>&lt;cbc:PayableAmount currencyID="JPY"&gt;637&lt;/cbc:PayableAmount&gt;</t>
  </si>
  <si>
    <t>&lt;cbc:ID&gt;123469&lt;/cbc:ID&gt;</t>
  </si>
  <si>
    <t>2015/08/11 16:30:50 JST</t>
  </si>
  <si>
    <t>ERROR</t>
  </si>
  <si>
    <t xml:space="preserve"> Validator Error -&gt; COLUMN : 差出人  required</t>
  </si>
  <si>
    <t xml:space="preserve"> Validator Error -&gt; COLUMN : 宛先  required</t>
  </si>
  <si>
    <t xml:space="preserve"> Validator Error -&gt; COLUMN : 請求書番号  required</t>
  </si>
  <si>
    <t xml:space="preserve"> Validator Error -&gt; COLUMN : 請求日  required</t>
  </si>
  <si>
    <t xml:space="preserve"> Validator Error -&gt; COLUMN : 通貨  required</t>
  </si>
  <si>
    <t>INV20150810-1110</t>
  </si>
  <si>
    <t>JPY</t>
  </si>
  <si>
    <t>空条じょうたろう（個人事業）</t>
  </si>
  <si>
    <t>105-0011</t>
  </si>
  <si>
    <t>東京都</t>
  </si>
  <si>
    <t>港区芝公園2丁目11番1号</t>
  </si>
  <si>
    <t>住友不動産芝公園タワー</t>
  </si>
  <si>
    <t>日本</t>
  </si>
  <si>
    <t>そうほく商事株式会社</t>
  </si>
  <si>
    <t>104-0061</t>
  </si>
  <si>
    <t>中央区銀座1-1</t>
  </si>
  <si>
    <t>9635ea6b-39e5-4e0e-a1c2-f41b0aae217d</t>
  </si>
  <si>
    <t>osi+test_2015_011@tradeshift.com</t>
  </si>
  <si>
    <t>トレード銀行</t>
  </si>
  <si>
    <t>青山支店</t>
  </si>
  <si>
    <t>普通</t>
  </si>
  <si>
    <t>ユウセン(カ</t>
  </si>
  <si>
    <t>P001</t>
  </si>
  <si>
    <t>ハーマンミラー椅子</t>
  </si>
  <si>
    <t>個</t>
  </si>
  <si>
    <t>赤坂店</t>
  </si>
  <si>
    <t>P002</t>
  </si>
  <si>
    <t>ハーマンミラー机</t>
  </si>
  <si>
    <t>本部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</si>
</sst>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);[Red]\(0\)"/>
    <numFmt numFmtId="177" formatCode="yyyy/m/d;@"/>
    <numFmt numFmtId="178" formatCode="0_ "/>
    <numFmt numFmtId="179" formatCode="#,##0_);[Red]\(#,##0\)"/>
    <numFmt numFmtId="180" formatCode="0.0%"/>
  </numFmts>
  <fonts count="1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b/>
      <sz val="12"/>
      <color theme="1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</font>
    <font>
      <sz val="12"/>
      <color theme="0"/>
      <name val="Arial"/>
      <family val="2"/>
    </font>
    <font>
      <sz val="12"/>
      <color rgb="FFFF0000"/>
      <name val="ＭＳ Ｐゴシック"/>
      <family val="3"/>
      <charset val="128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2"/>
      <color theme="1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00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85">
    <xf numFmtId="0" fontId="0" fillId="0" borderId="0" xfId="0"/>
    <xf numFmtId="49" fontId="3" fillId="2" borderId="1" xfId="0" applyNumberFormat="1" applyFont="1" applyFill="1" applyBorder="1" applyAlignment="1">
      <alignment horizontal="center"/>
    </xf>
    <xf numFmtId="0" fontId="3" fillId="3" borderId="0" xfId="0" applyFont="1" applyFill="1"/>
    <xf numFmtId="0" fontId="3" fillId="3" borderId="1" xfId="0" applyFont="1" applyFill="1" applyBorder="1"/>
    <xf numFmtId="0" fontId="3" fillId="2" borderId="1" xfId="0" applyFont="1" applyFill="1" applyBorder="1"/>
    <xf numFmtId="0" fontId="6" fillId="3" borderId="1" xfId="0" applyFont="1" applyFill="1" applyBorder="1"/>
    <xf numFmtId="9" fontId="3" fillId="3" borderId="1" xfId="2" applyFont="1" applyFill="1" applyBorder="1" applyAlignment="1">
      <alignment horizontal="right"/>
    </xf>
    <xf numFmtId="0" fontId="6" fillId="3" borderId="0" xfId="0" applyFont="1" applyFill="1"/>
    <xf numFmtId="0" fontId="6" fillId="2" borderId="1" xfId="0" applyFont="1" applyFill="1" applyBorder="1"/>
    <xf numFmtId="0" fontId="12" fillId="4" borderId="1" xfId="0" applyFont="1" applyFill="1" applyBorder="1"/>
    <xf numFmtId="0" fontId="6" fillId="3" borderId="0" xfId="0" applyFont="1" applyFill="1" applyBorder="1"/>
    <xf numFmtId="0" fontId="6" fillId="3" borderId="0" xfId="0" applyFont="1" applyFill="1" applyBorder="1" applyAlignment="1">
      <alignment horizontal="left"/>
    </xf>
    <xf numFmtId="0" fontId="16" fillId="2" borderId="1" xfId="0" applyFont="1" applyFill="1" applyBorder="1"/>
    <xf numFmtId="0" fontId="16" fillId="3" borderId="0" xfId="0" applyFont="1" applyFill="1"/>
    <xf numFmtId="0" fontId="16" fillId="3" borderId="1" xfId="0" applyFont="1" applyFill="1" applyBorder="1"/>
    <xf numFmtId="0" fontId="0" fillId="0" borderId="0" xfId="0" applyAlignment="1">
      <alignment wrapText="1"/>
    </xf>
    <xf numFmtId="0" fontId="3" fillId="3" borderId="1" xfId="0" applyFont="1" applyFill="1" applyBorder="1" applyProtection="1">
      <protection locked="0"/>
    </xf>
    <xf numFmtId="0" fontId="15" fillId="3" borderId="1" xfId="0" applyFont="1" applyFill="1" applyBorder="1" applyProtection="1">
      <protection locked="0"/>
    </xf>
    <xf numFmtId="0" fontId="6" fillId="3" borderId="1" xfId="0" applyFont="1" applyFill="1" applyBorder="1" applyProtection="1">
      <protection locked="0"/>
    </xf>
    <xf numFmtId="0" fontId="6" fillId="3" borderId="1" xfId="0" applyFont="1" applyFill="1" applyBorder="1" applyAlignment="1" applyProtection="1">
      <alignment horizontal="left"/>
      <protection locked="0"/>
    </xf>
    <xf numFmtId="49" fontId="6" fillId="3" borderId="1" xfId="0" applyNumberFormat="1" applyFont="1" applyFill="1" applyBorder="1" applyProtection="1">
      <protection locked="0"/>
    </xf>
    <xf numFmtId="49" fontId="0" fillId="3" borderId="1" xfId="0" applyNumberFormat="1" applyFont="1" applyFill="1" applyBorder="1" applyProtection="1">
      <protection locked="0"/>
    </xf>
    <xf numFmtId="177" fontId="0" fillId="3" borderId="1" xfId="0" applyNumberFormat="1" applyFont="1" applyFill="1" applyBorder="1" applyAlignment="1" applyProtection="1">
      <alignment horizontal="left"/>
      <protection locked="0"/>
    </xf>
    <xf numFmtId="176" fontId="0" fillId="3" borderId="1" xfId="0" applyNumberFormat="1" applyFont="1" applyFill="1" applyBorder="1" applyProtection="1">
      <protection locked="0"/>
    </xf>
    <xf numFmtId="49" fontId="0" fillId="3" borderId="1" xfId="0" applyNumberFormat="1" applyFont="1" applyFill="1" applyBorder="1" applyAlignment="1" applyProtection="1">
      <alignment horizontal="right"/>
      <protection locked="0"/>
    </xf>
    <xf numFmtId="38" fontId="0" fillId="3" borderId="1" xfId="1" applyFont="1" applyFill="1" applyBorder="1" applyAlignment="1" applyProtection="1">
      <alignment horizontal="right"/>
      <protection locked="0"/>
    </xf>
    <xf numFmtId="9" fontId="0" fillId="3" borderId="1" xfId="2" applyFont="1" applyFill="1" applyBorder="1" applyAlignment="1" applyProtection="1">
      <alignment horizontal="right"/>
      <protection locked="0"/>
    </xf>
    <xf numFmtId="38" fontId="0" fillId="3" borderId="1" xfId="1" applyFont="1" applyFill="1" applyBorder="1" applyAlignment="1" applyProtection="1">
      <alignment horizontal="left"/>
      <protection locked="0"/>
    </xf>
    <xf numFmtId="0" fontId="3" fillId="3" borderId="0" xfId="0" applyFont="1" applyFill="1" applyProtection="1">
      <protection locked="0"/>
    </xf>
    <xf numFmtId="38" fontId="0" fillId="3" borderId="0" xfId="1" applyFont="1" applyFill="1" applyBorder="1" applyAlignment="1" applyProtection="1">
      <alignment horizontal="right"/>
    </xf>
    <xf numFmtId="38" fontId="0" fillId="3" borderId="1" xfId="1" applyFont="1" applyFill="1" applyBorder="1" applyAlignment="1" applyProtection="1">
      <alignment horizontal="right"/>
    </xf>
    <xf numFmtId="49" fontId="9" fillId="3" borderId="0" xfId="0" applyNumberFormat="1" applyFont="1" applyFill="1" applyAlignment="1" applyProtection="1">
      <alignment horizontal="left"/>
    </xf>
    <xf numFmtId="49" fontId="8" fillId="3" borderId="0" xfId="0" applyNumberFormat="1" applyFont="1" applyFill="1" applyProtection="1"/>
    <xf numFmtId="49" fontId="0" fillId="3" borderId="0" xfId="0" applyNumberFormat="1" applyFont="1" applyFill="1" applyProtection="1"/>
    <xf numFmtId="49" fontId="0" fillId="3" borderId="0" xfId="0" applyNumberFormat="1" applyFont="1" applyFill="1" applyAlignment="1" applyProtection="1">
      <alignment horizontal="right"/>
    </xf>
    <xf numFmtId="49" fontId="0" fillId="2" borderId="1" xfId="0" applyNumberFormat="1" applyFont="1" applyFill="1" applyBorder="1" applyAlignment="1" applyProtection="1">
      <alignment horizontal="left"/>
    </xf>
    <xf numFmtId="49" fontId="0" fillId="2" borderId="1" xfId="0" applyNumberFormat="1" applyFont="1" applyFill="1" applyBorder="1" applyAlignment="1" applyProtection="1">
      <alignment horizontal="center"/>
    </xf>
    <xf numFmtId="0" fontId="0" fillId="3" borderId="0" xfId="0" applyNumberFormat="1" applyFont="1" applyFill="1" applyAlignment="1" applyProtection="1">
      <alignment horizontal="right"/>
    </xf>
    <xf numFmtId="49" fontId="0" fillId="2" borderId="10" xfId="0" applyNumberFormat="1" applyFont="1" applyFill="1" applyBorder="1" applyProtection="1"/>
    <xf numFmtId="49" fontId="0" fillId="2" borderId="11" xfId="0" applyNumberFormat="1" applyFont="1" applyFill="1" applyBorder="1" applyProtection="1"/>
    <xf numFmtId="49" fontId="0" fillId="2" borderId="12" xfId="0" applyNumberFormat="1" applyFont="1" applyFill="1" applyBorder="1" applyProtection="1"/>
    <xf numFmtId="9" fontId="0" fillId="3" borderId="1" xfId="1" applyNumberFormat="1" applyFont="1" applyFill="1" applyBorder="1" applyAlignment="1" applyProtection="1">
      <alignment horizontal="right"/>
      <protection locked="0"/>
    </xf>
    <xf numFmtId="178" fontId="0" fillId="3" borderId="1" xfId="0" applyNumberFormat="1" applyFont="1" applyFill="1" applyBorder="1" applyAlignment="1" applyProtection="1">
      <alignment horizontal="right"/>
      <protection locked="0"/>
    </xf>
    <xf numFmtId="0" fontId="0" fillId="3" borderId="0" xfId="0" applyNumberFormat="1" applyFont="1" applyFill="1" applyProtection="1"/>
    <xf numFmtId="9" fontId="6" fillId="3" borderId="1" xfId="2" applyFont="1" applyFill="1" applyBorder="1" applyAlignment="1"/>
    <xf numFmtId="180" fontId="3" fillId="3" borderId="1" xfId="2" applyNumberFormat="1" applyFont="1" applyFill="1" applyBorder="1" applyAlignment="1">
      <alignment horizontal="right"/>
    </xf>
    <xf numFmtId="49" fontId="6" fillId="2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left" vertical="center"/>
      <protection locked="0"/>
    </xf>
    <xf numFmtId="49" fontId="6" fillId="3" borderId="1" xfId="0" applyNumberFormat="1" applyFont="1" applyFill="1" applyBorder="1" applyAlignment="1" applyProtection="1">
      <alignment horizontal="left" vertical="center"/>
      <protection locked="0"/>
    </xf>
    <xf numFmtId="49" fontId="17" fillId="3" borderId="0" xfId="0" applyNumberFormat="1" applyFont="1" applyFill="1" applyProtection="1"/>
    <xf numFmtId="0" fontId="17" fillId="3" borderId="0" xfId="0" applyNumberFormat="1" applyFont="1" applyFill="1" applyProtection="1"/>
    <xf numFmtId="49" fontId="0" fillId="3" borderId="2" xfId="0" applyNumberFormat="1" applyFont="1" applyFill="1" applyBorder="1" applyAlignment="1" applyProtection="1">
      <alignment vertical="top"/>
      <protection locked="0"/>
    </xf>
    <xf numFmtId="49" fontId="0" fillId="3" borderId="3" xfId="0" applyNumberFormat="1" applyFont="1" applyFill="1" applyBorder="1" applyAlignment="1" applyProtection="1">
      <alignment vertical="top"/>
      <protection locked="0"/>
    </xf>
    <xf numFmtId="49" fontId="0" fillId="3" borderId="4" xfId="0" applyNumberFormat="1" applyFont="1" applyFill="1" applyBorder="1" applyAlignment="1" applyProtection="1">
      <alignment vertical="top"/>
      <protection locked="0"/>
    </xf>
    <xf numFmtId="49" fontId="0" fillId="3" borderId="5" xfId="0" applyNumberFormat="1" applyFont="1" applyFill="1" applyBorder="1" applyAlignment="1" applyProtection="1">
      <alignment vertical="top"/>
      <protection locked="0"/>
    </xf>
    <xf numFmtId="49" fontId="0" fillId="3" borderId="0" xfId="0" applyNumberFormat="1" applyFont="1" applyFill="1" applyBorder="1" applyAlignment="1" applyProtection="1">
      <alignment vertical="top"/>
      <protection locked="0"/>
    </xf>
    <xf numFmtId="49" fontId="0" fillId="3" borderId="6" xfId="0" applyNumberFormat="1" applyFont="1" applyFill="1" applyBorder="1" applyAlignment="1" applyProtection="1">
      <alignment vertical="top"/>
      <protection locked="0"/>
    </xf>
    <xf numFmtId="49" fontId="0" fillId="3" borderId="7" xfId="0" applyNumberFormat="1" applyFont="1" applyFill="1" applyBorder="1" applyAlignment="1" applyProtection="1">
      <alignment vertical="top"/>
      <protection locked="0"/>
    </xf>
    <xf numFmtId="49" fontId="0" fillId="3" borderId="8" xfId="0" applyNumberFormat="1" applyFont="1" applyFill="1" applyBorder="1" applyAlignment="1" applyProtection="1">
      <alignment vertical="top"/>
      <protection locked="0"/>
    </xf>
    <xf numFmtId="49" fontId="0" fillId="3" borderId="9" xfId="0" applyNumberFormat="1" applyFont="1" applyFill="1" applyBorder="1" applyAlignment="1" applyProtection="1">
      <alignment vertical="top"/>
      <protection locked="0"/>
    </xf>
    <xf numFmtId="49" fontId="10" fillId="3" borderId="10" xfId="0" applyNumberFormat="1" applyFont="1" applyFill="1" applyBorder="1" applyAlignment="1" applyProtection="1">
      <alignment horizontal="left"/>
      <protection locked="0"/>
    </xf>
    <xf numFmtId="49" fontId="10" fillId="3" borderId="12" xfId="0" applyNumberFormat="1" applyFont="1" applyFill="1" applyBorder="1" applyAlignment="1" applyProtection="1">
      <alignment horizontal="left"/>
      <protection locked="0"/>
    </xf>
    <xf numFmtId="49" fontId="0" fillId="2" borderId="10" xfId="0" applyNumberFormat="1" applyFont="1" applyFill="1" applyBorder="1" applyAlignment="1" applyProtection="1">
      <alignment horizontal="left"/>
    </xf>
    <xf numFmtId="49" fontId="0" fillId="2" borderId="12" xfId="0" applyNumberFormat="1" applyFont="1" applyFill="1" applyBorder="1" applyAlignment="1" applyProtection="1">
      <alignment horizontal="left"/>
    </xf>
    <xf numFmtId="14" fontId="6" fillId="3" borderId="1" xfId="0" applyNumberFormat="1" applyFont="1" applyFill="1" applyBorder="1" applyAlignment="1" applyProtection="1">
      <alignment horizontal="left" vertical="center"/>
      <protection locked="0"/>
    </xf>
    <xf numFmtId="177" fontId="6" fillId="3" borderId="1" xfId="0" applyNumberFormat="1" applyFont="1" applyFill="1" applyBorder="1" applyAlignment="1" applyProtection="1">
      <alignment horizontal="left" vertical="center"/>
      <protection locked="0"/>
    </xf>
    <xf numFmtId="176" fontId="6" fillId="3" borderId="1" xfId="0" applyNumberFormat="1" applyFont="1" applyFill="1" applyBorder="1" applyAlignment="1" applyProtection="1">
      <alignment horizontal="right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38" fontId="6" fillId="3" borderId="1" xfId="1" applyFont="1" applyFill="1" applyBorder="1" applyAlignment="1" applyProtection="1">
      <alignment horizontal="right" vertical="center"/>
      <protection locked="0"/>
    </xf>
    <xf numFmtId="9" fontId="6" fillId="3" borderId="1" xfId="0" applyNumberFormat="1" applyFont="1" applyFill="1" applyBorder="1" applyAlignment="1" applyProtection="1">
      <alignment horizontal="right" vertical="center"/>
      <protection locked="0"/>
    </xf>
    <xf numFmtId="176" fontId="6" fillId="3" borderId="1" xfId="0" applyNumberFormat="1" applyFont="1" applyFill="1" applyBorder="1" applyAlignment="1" applyProtection="1">
      <alignment horizontal="left"/>
      <protection locked="0"/>
    </xf>
    <xf numFmtId="49" fontId="6" fillId="3" borderId="1" xfId="0" applyNumberFormat="1" applyFont="1" applyFill="1" applyBorder="1" applyAlignment="1" applyProtection="1">
      <alignment horizontal="left"/>
      <protection locked="0"/>
    </xf>
    <xf numFmtId="49" fontId="6" fillId="3" borderId="1" xfId="0" applyNumberFormat="1" applyFont="1" applyFill="1" applyBorder="1" applyAlignment="1" applyProtection="1">
      <alignment horizontal="center"/>
      <protection locked="0"/>
    </xf>
    <xf numFmtId="9" fontId="6" fillId="3" borderId="1" xfId="2" applyNumberFormat="1" applyFont="1" applyFill="1" applyBorder="1" applyAlignment="1" applyProtection="1">
      <alignment horizontal="right"/>
      <protection locked="0"/>
    </xf>
    <xf numFmtId="38" fontId="6" fillId="3" borderId="1" xfId="1" applyNumberFormat="1" applyFont="1" applyFill="1" applyBorder="1" applyAlignment="1" applyProtection="1">
      <alignment horizontal="right" vertical="center"/>
      <protection locked="0"/>
    </xf>
    <xf numFmtId="38" fontId="6" fillId="3" borderId="1" xfId="1" applyFont="1" applyFill="1" applyBorder="1" applyAlignment="1" applyProtection="1">
      <alignment horizontal="left"/>
      <protection locked="0"/>
    </xf>
    <xf numFmtId="176" fontId="6" fillId="3" borderId="1" xfId="0" applyNumberFormat="1" applyFont="1" applyFill="1" applyBorder="1" applyAlignment="1" applyProtection="1">
      <alignment horizontal="right"/>
      <protection locked="0"/>
    </xf>
    <xf numFmtId="38" fontId="6" fillId="3" borderId="1" xfId="1" applyFont="1" applyFill="1" applyBorder="1" applyAlignment="1" applyProtection="1">
      <alignment horizontal="right"/>
      <protection locked="0"/>
    </xf>
    <xf numFmtId="0" fontId="6" fillId="3" borderId="1" xfId="0" applyFont="1" applyFill="1" applyBorder="1" applyAlignment="1" applyProtection="1">
      <alignment horizontal="center"/>
      <protection locked="0"/>
    </xf>
    <xf numFmtId="9" fontId="6" fillId="3" borderId="1" xfId="0" applyNumberFormat="1" applyFont="1" applyFill="1" applyBorder="1" applyAlignment="1" applyProtection="1">
      <alignment horizontal="right"/>
      <protection locked="0"/>
    </xf>
    <xf numFmtId="38" fontId="6" fillId="3" borderId="1" xfId="0" applyNumberFormat="1" applyFont="1" applyFill="1" applyBorder="1" applyAlignment="1" applyProtection="1">
      <alignment horizontal="right" vertical="center"/>
      <protection locked="0"/>
    </xf>
    <xf numFmtId="179" fontId="6" fillId="3" borderId="1" xfId="2" applyNumberFormat="1" applyFont="1" applyFill="1" applyBorder="1" applyAlignment="1" applyProtection="1">
      <alignment horizontal="right"/>
      <protection locked="0"/>
    </xf>
    <xf numFmtId="176" fontId="6" fillId="3" borderId="1" xfId="0" applyNumberFormat="1" applyFont="1" applyFill="1" applyBorder="1" applyAlignment="1" applyProtection="1">
      <alignment horizontal="center"/>
      <protection locked="0"/>
    </xf>
    <xf numFmtId="9" fontId="6" fillId="3" borderId="1" xfId="1" applyNumberFormat="1" applyFont="1" applyFill="1" applyBorder="1" applyAlignment="1" applyProtection="1">
      <alignment horizontal="right"/>
      <protection locked="0"/>
    </xf>
    <xf numFmtId="9" fontId="6" fillId="3" borderId="1" xfId="1" applyNumberFormat="1" applyFont="1" applyFill="1" applyBorder="1" applyAlignment="1" applyProtection="1">
      <alignment horizontal="right" vertical="center"/>
      <protection locked="0"/>
    </xf>
  </cellXfs>
  <cellStyles count="300">
    <cellStyle name="パーセント" xfId="2" builtinId="5"/>
    <cellStyle name="ハイパーリンク" xfId="3" builtinId="8" hidden="1"/>
    <cellStyle name="ハイパーリンク" xfId="5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桁区切り" xfId="1" builtinId="6"/>
    <cellStyle name="標準" xfId="0" builtinId="0"/>
    <cellStyle name="表示済みのハイパーリンク" xfId="4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546100</xdr:colOff>
      <xdr:row>0</xdr:row>
      <xdr:rowOff>71120</xdr:rowOff>
    </xdr:from>
    <xdr:to>
      <xdr:col>7</xdr:col>
      <xdr:colOff>990600</xdr:colOff>
      <xdr:row>1</xdr:row>
      <xdr:rowOff>127000</xdr:rowOff>
    </xdr:to>
    <xdr:sp macro="[0]!copy2InvoiceData" textlink="">
      <xdr:nvSpPr>
        <xdr:cNvPr id="2" name="額縁 1"/>
        <xdr:cNvSpPr/>
      </xdr:nvSpPr>
      <xdr:spPr>
        <a:xfrm>
          <a:off x="9550400" y="71120"/>
          <a:ext cx="1397000" cy="373380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0"/>
        <a:lstStyle/>
        <a:p>
          <a:pPr algn="ctr"/>
          <a:r>
            <a:rPr lang="ja-JP" altLang="en-US">
              <a:solidFill>
                <a:schemeClr val="tx2"/>
              </a:solidFill>
            </a:rPr>
            <a:t>請求書データ作成</a:t>
          </a:r>
        </a:p>
      </xdr:txBody>
    </xdr:sp>
    <xdr:clientData/>
  </xdr:twoCellAnchor>
  <xdr:twoCellAnchor>
    <xdr:from>
      <xdr:col>7</xdr:col>
      <xdr:colOff>1206500</xdr:colOff>
      <xdr:row>0</xdr:row>
      <xdr:rowOff>71120</xdr:rowOff>
    </xdr:from>
    <xdr:to>
      <xdr:col>7</xdr:col>
      <xdr:colOff>2189480</xdr:colOff>
      <xdr:row>1</xdr:row>
      <xdr:rowOff>127000</xdr:rowOff>
    </xdr:to>
    <xdr:sp macro="[0]!sendToAPI" textlink="">
      <xdr:nvSpPr>
        <xdr:cNvPr id="4" name="額縁 3"/>
        <xdr:cNvSpPr/>
      </xdr:nvSpPr>
      <xdr:spPr>
        <a:xfrm>
          <a:off x="11163300" y="71120"/>
          <a:ext cx="982980" cy="373380"/>
        </a:xfrm>
        <a:prstGeom prst="bevel">
          <a:avLst/>
        </a:pr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0"/>
        <a:lstStyle/>
        <a:p>
          <a:pPr algn="ctr"/>
          <a:r>
            <a:rPr lang="ja-JP" altLang="en-US">
              <a:solidFill>
                <a:schemeClr val="bg1"/>
              </a:solidFill>
            </a:rPr>
            <a:t>請求書送付</a:t>
          </a:r>
        </a:p>
      </xdr:txBody>
    </xdr:sp>
    <xdr:clientData/>
  </xdr:twoCellAnchor>
  <xdr:twoCellAnchor>
    <xdr:from>
      <xdr:col>0</xdr:col>
      <xdr:colOff>57151</xdr:colOff>
      <xdr:row>13</xdr:row>
      <xdr:rowOff>95250</xdr:rowOff>
    </xdr:from>
    <xdr:to>
      <xdr:col>0</xdr:col>
      <xdr:colOff>933451</xdr:colOff>
      <xdr:row>16</xdr:row>
      <xdr:rowOff>95250</xdr:rowOff>
    </xdr:to>
    <xdr:sp macro="[0]!showRows" textlink="">
      <xdr:nvSpPr>
        <xdr:cNvPr id="5" name="額縁 4"/>
        <xdr:cNvSpPr/>
      </xdr:nvSpPr>
      <xdr:spPr>
        <a:xfrm>
          <a:off x="57151" y="2533650"/>
          <a:ext cx="876300" cy="542925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0"/>
        <a:lstStyle/>
        <a:p>
          <a:pPr algn="ctr"/>
          <a:r>
            <a:rPr lang="ja-JP" altLang="en-US">
              <a:solidFill>
                <a:schemeClr val="tx2"/>
              </a:solidFill>
            </a:rPr>
            <a:t>行表示</a:t>
          </a:r>
          <a:r>
            <a:rPr lang="en-US" altLang="ja-JP">
              <a:solidFill>
                <a:schemeClr val="tx2"/>
              </a:solidFill>
            </a:rPr>
            <a:t>/</a:t>
          </a:r>
          <a:r>
            <a:rPr lang="ja-JP" altLang="en-US">
              <a:solidFill>
                <a:schemeClr val="tx2"/>
              </a:solidFill>
            </a:rPr>
            <a:t>非表示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20"/>
  <sheetViews>
    <sheetView tabSelected="1" zoomScale="85" zoomScaleNormal="85" zoomScalePageLayoutView="85" workbookViewId="0">
      <selection activeCell="F14" sqref="F14"/>
    </sheetView>
  </sheetViews>
  <sheetFormatPr defaultColWidth="12.875" defaultRowHeight="14.25" x14ac:dyDescent="0.15"/>
  <cols>
    <col min="1" max="1" width="14.5" style="34" customWidth="1"/>
    <col min="2" max="2" width="8.375" style="33" bestFit="1" customWidth="1"/>
    <col min="3" max="3" width="28.125" style="33" bestFit="1" customWidth="1"/>
    <col min="4" max="4" width="10.375" style="33" bestFit="1" customWidth="1"/>
    <col min="5" max="5" width="19.625" style="33" bestFit="1" customWidth="1"/>
    <col min="6" max="6" width="28.625" style="33" customWidth="1"/>
    <col min="7" max="7" width="12.5" style="33" bestFit="1" customWidth="1"/>
    <col min="8" max="8" width="29.875" style="33" customWidth="1"/>
    <col min="9" max="10" width="12.875" style="33"/>
    <col min="11" max="11" width="19.5" style="33" bestFit="1" customWidth="1"/>
    <col min="12" max="12" width="14.5" style="33" bestFit="1" customWidth="1"/>
    <col min="13" max="13" width="26.125" style="33" customWidth="1"/>
    <col min="14" max="15" width="41.5" style="33" customWidth="1"/>
    <col min="16" max="16384" width="12.875" style="33"/>
  </cols>
  <sheetData>
    <row r="1" spans="1:15" ht="21" x14ac:dyDescent="0.2">
      <c r="A1" s="31" t="s">
        <v>20</v>
      </c>
      <c r="B1" s="32"/>
    </row>
    <row r="3" spans="1:15" x14ac:dyDescent="0.15">
      <c r="B3" s="62" t="s">
        <v>44</v>
      </c>
      <c r="C3" s="63"/>
      <c r="E3" s="35" t="s">
        <v>46</v>
      </c>
      <c r="F3" s="21"/>
    </row>
    <row r="4" spans="1:15" x14ac:dyDescent="0.15">
      <c r="B4" s="60"/>
      <c r="C4" s="61"/>
      <c r="E4" s="35" t="s">
        <v>47</v>
      </c>
      <c r="F4" s="22"/>
      <c r="G4" s="35" t="s">
        <v>48</v>
      </c>
      <c r="H4" s="21"/>
    </row>
    <row r="5" spans="1:15" x14ac:dyDescent="0.15">
      <c r="B5" s="62" t="s">
        <v>45</v>
      </c>
      <c r="C5" s="63"/>
      <c r="E5" s="35" t="s">
        <v>37</v>
      </c>
      <c r="F5" s="22"/>
      <c r="G5" s="35" t="s">
        <v>38</v>
      </c>
      <c r="H5" s="22"/>
    </row>
    <row r="6" spans="1:15" x14ac:dyDescent="0.15">
      <c r="B6" s="60"/>
      <c r="C6" s="61"/>
      <c r="E6" s="35" t="s">
        <v>79</v>
      </c>
      <c r="F6" s="21"/>
      <c r="G6" s="35" t="s">
        <v>21</v>
      </c>
      <c r="H6" s="21"/>
    </row>
    <row r="8" spans="1:15" x14ac:dyDescent="0.15">
      <c r="B8" s="36" t="s">
        <v>49</v>
      </c>
      <c r="C8" s="36" t="s">
        <v>50</v>
      </c>
      <c r="D8" s="36" t="s">
        <v>92</v>
      </c>
      <c r="E8" s="36" t="s">
        <v>16</v>
      </c>
      <c r="F8" s="36" t="s">
        <v>93</v>
      </c>
      <c r="G8" s="36" t="s">
        <v>94</v>
      </c>
      <c r="H8" s="36" t="s">
        <v>17</v>
      </c>
      <c r="I8" s="36" t="s">
        <v>80</v>
      </c>
      <c r="J8" s="36" t="s">
        <v>81</v>
      </c>
      <c r="K8" s="36" t="s">
        <v>82</v>
      </c>
      <c r="L8" s="36" t="s">
        <v>83</v>
      </c>
      <c r="M8" s="36" t="s">
        <v>84</v>
      </c>
      <c r="N8" s="36" t="s">
        <v>85</v>
      </c>
      <c r="O8" s="36" t="s">
        <v>144</v>
      </c>
    </row>
    <row r="9" spans="1:15" x14ac:dyDescent="0.15">
      <c r="A9" s="37">
        <v>1</v>
      </c>
      <c r="B9" s="23"/>
      <c r="C9" s="21"/>
      <c r="D9" s="42"/>
      <c r="E9" s="24"/>
      <c r="F9" s="25"/>
      <c r="G9" s="26"/>
      <c r="H9" s="30" t="str">
        <f>IF(AND(D9&lt;&gt;"", F9&lt;&gt;""),D9*F9+J9,"")</f>
        <v/>
      </c>
      <c r="I9" s="41"/>
      <c r="J9" s="25"/>
      <c r="K9" s="27"/>
      <c r="L9" s="27"/>
      <c r="M9" s="27"/>
      <c r="N9" s="27"/>
      <c r="O9" s="27"/>
    </row>
    <row r="10" spans="1:15" x14ac:dyDescent="0.15">
      <c r="A10" s="37">
        <v>2</v>
      </c>
      <c r="B10" s="23"/>
      <c r="C10" s="21"/>
      <c r="D10" s="42"/>
      <c r="E10" s="24"/>
      <c r="F10" s="25"/>
      <c r="G10" s="26"/>
      <c r="H10" s="30" t="str">
        <f t="shared" ref="H10:H73" si="0">IF(AND(D10&lt;&gt;"", F10&lt;&gt;""),D10*F10+J10,"")</f>
        <v/>
      </c>
      <c r="I10" s="41"/>
      <c r="J10" s="25"/>
      <c r="K10" s="21"/>
      <c r="L10" s="27"/>
      <c r="M10" s="27"/>
      <c r="N10" s="27"/>
      <c r="O10" s="27"/>
    </row>
    <row r="11" spans="1:15" x14ac:dyDescent="0.15">
      <c r="A11" s="37">
        <v>3</v>
      </c>
      <c r="B11" s="23"/>
      <c r="C11" s="21"/>
      <c r="D11" s="42"/>
      <c r="E11" s="24"/>
      <c r="F11" s="25"/>
      <c r="G11" s="26"/>
      <c r="H11" s="30" t="str">
        <f t="shared" si="0"/>
        <v/>
      </c>
      <c r="I11" s="41"/>
      <c r="J11" s="25"/>
      <c r="K11" s="23"/>
      <c r="L11" s="27"/>
      <c r="M11" s="27"/>
      <c r="N11" s="27"/>
      <c r="O11" s="27"/>
    </row>
    <row r="12" spans="1:15" x14ac:dyDescent="0.15">
      <c r="A12" s="37">
        <v>4</v>
      </c>
      <c r="B12" s="23"/>
      <c r="C12" s="21"/>
      <c r="D12" s="42"/>
      <c r="E12" s="24"/>
      <c r="F12" s="25"/>
      <c r="G12" s="26"/>
      <c r="H12" s="30" t="str">
        <f t="shared" si="0"/>
        <v/>
      </c>
      <c r="I12" s="41"/>
      <c r="J12" s="25"/>
      <c r="K12" s="21"/>
      <c r="L12" s="27"/>
      <c r="M12" s="27"/>
      <c r="N12" s="27"/>
      <c r="O12" s="27"/>
    </row>
    <row r="13" spans="1:15" x14ac:dyDescent="0.15">
      <c r="A13" s="37">
        <v>5</v>
      </c>
      <c r="B13" s="23"/>
      <c r="C13" s="21"/>
      <c r="D13" s="42"/>
      <c r="E13" s="24"/>
      <c r="F13" s="25"/>
      <c r="G13" s="26"/>
      <c r="H13" s="30" t="str">
        <f t="shared" si="0"/>
        <v/>
      </c>
      <c r="I13" s="41"/>
      <c r="J13" s="25"/>
      <c r="K13" s="27"/>
      <c r="L13" s="27"/>
      <c r="M13" s="27"/>
      <c r="N13" s="27"/>
      <c r="O13" s="27"/>
    </row>
    <row r="14" spans="1:15" x14ac:dyDescent="0.15">
      <c r="A14" s="37">
        <v>6</v>
      </c>
      <c r="B14" s="23"/>
      <c r="C14" s="21"/>
      <c r="D14" s="42"/>
      <c r="E14" s="24"/>
      <c r="F14" s="25"/>
      <c r="G14" s="26"/>
      <c r="H14" s="30" t="str">
        <f t="shared" si="0"/>
        <v/>
      </c>
      <c r="I14" s="41"/>
      <c r="J14" s="25"/>
      <c r="K14" s="27"/>
      <c r="L14" s="27"/>
      <c r="M14" s="27"/>
      <c r="N14" s="27"/>
      <c r="O14" s="27"/>
    </row>
    <row r="15" spans="1:15" x14ac:dyDescent="0.15">
      <c r="A15" s="37">
        <v>7</v>
      </c>
      <c r="B15" s="23"/>
      <c r="C15" s="21"/>
      <c r="D15" s="42"/>
      <c r="E15" s="24"/>
      <c r="F15" s="25"/>
      <c r="G15" s="26"/>
      <c r="H15" s="30" t="str">
        <f t="shared" si="0"/>
        <v/>
      </c>
      <c r="I15" s="41"/>
      <c r="J15" s="25"/>
      <c r="K15" s="27"/>
      <c r="L15" s="27"/>
      <c r="M15" s="27"/>
      <c r="N15" s="27"/>
      <c r="O15" s="27"/>
    </row>
    <row r="16" spans="1:15" x14ac:dyDescent="0.15">
      <c r="A16" s="37">
        <v>8</v>
      </c>
      <c r="B16" s="23"/>
      <c r="C16" s="21"/>
      <c r="D16" s="42"/>
      <c r="E16" s="24"/>
      <c r="F16" s="25"/>
      <c r="G16" s="26"/>
      <c r="H16" s="30" t="str">
        <f t="shared" si="0"/>
        <v/>
      </c>
      <c r="I16" s="41"/>
      <c r="J16" s="25"/>
      <c r="K16" s="27"/>
      <c r="L16" s="27"/>
      <c r="M16" s="27"/>
      <c r="N16" s="27"/>
      <c r="O16" s="27"/>
    </row>
    <row r="17" spans="1:15" x14ac:dyDescent="0.15">
      <c r="A17" s="37">
        <v>9</v>
      </c>
      <c r="B17" s="23"/>
      <c r="C17" s="21"/>
      <c r="D17" s="42"/>
      <c r="E17" s="24"/>
      <c r="F17" s="25"/>
      <c r="G17" s="26"/>
      <c r="H17" s="30" t="str">
        <f t="shared" si="0"/>
        <v/>
      </c>
      <c r="I17" s="41"/>
      <c r="J17" s="25"/>
      <c r="K17" s="27"/>
      <c r="L17" s="27"/>
      <c r="M17" s="27"/>
      <c r="N17" s="27"/>
      <c r="O17" s="27"/>
    </row>
    <row r="18" spans="1:15" x14ac:dyDescent="0.15">
      <c r="A18" s="37">
        <v>10</v>
      </c>
      <c r="B18" s="23"/>
      <c r="C18" s="21"/>
      <c r="D18" s="42"/>
      <c r="E18" s="24"/>
      <c r="F18" s="25"/>
      <c r="G18" s="26"/>
      <c r="H18" s="30" t="str">
        <f t="shared" si="0"/>
        <v/>
      </c>
      <c r="I18" s="41"/>
      <c r="J18" s="25"/>
      <c r="K18" s="27"/>
      <c r="L18" s="27"/>
      <c r="M18" s="27"/>
      <c r="N18" s="27"/>
      <c r="O18" s="27"/>
    </row>
    <row r="19" spans="1:15" hidden="1" x14ac:dyDescent="0.15">
      <c r="A19" s="37">
        <v>11</v>
      </c>
      <c r="B19" s="23"/>
      <c r="C19" s="21"/>
      <c r="D19" s="42"/>
      <c r="E19" s="24"/>
      <c r="F19" s="25"/>
      <c r="G19" s="26"/>
      <c r="H19" s="30" t="str">
        <f t="shared" si="0"/>
        <v/>
      </c>
      <c r="I19" s="41"/>
      <c r="J19" s="25"/>
      <c r="K19" s="27"/>
      <c r="L19" s="27"/>
      <c r="M19" s="27"/>
      <c r="N19" s="27"/>
      <c r="O19" s="27"/>
    </row>
    <row r="20" spans="1:15" hidden="1" x14ac:dyDescent="0.15">
      <c r="A20" s="37">
        <v>12</v>
      </c>
      <c r="B20" s="23"/>
      <c r="C20" s="21"/>
      <c r="D20" s="42"/>
      <c r="E20" s="24"/>
      <c r="F20" s="25"/>
      <c r="G20" s="26"/>
      <c r="H20" s="30" t="str">
        <f t="shared" si="0"/>
        <v/>
      </c>
      <c r="I20" s="41"/>
      <c r="J20" s="25"/>
      <c r="K20" s="27"/>
      <c r="L20" s="27"/>
      <c r="M20" s="27"/>
      <c r="N20" s="27"/>
      <c r="O20" s="27"/>
    </row>
    <row r="21" spans="1:15" hidden="1" x14ac:dyDescent="0.15">
      <c r="A21" s="37">
        <v>13</v>
      </c>
      <c r="B21" s="23"/>
      <c r="C21" s="21"/>
      <c r="D21" s="42"/>
      <c r="E21" s="24"/>
      <c r="F21" s="25"/>
      <c r="G21" s="26"/>
      <c r="H21" s="30" t="str">
        <f t="shared" si="0"/>
        <v/>
      </c>
      <c r="I21" s="41"/>
      <c r="J21" s="25"/>
      <c r="K21" s="27"/>
      <c r="L21" s="27"/>
      <c r="M21" s="27"/>
      <c r="N21" s="27"/>
      <c r="O21" s="27"/>
    </row>
    <row r="22" spans="1:15" hidden="1" x14ac:dyDescent="0.15">
      <c r="A22" s="37">
        <v>14</v>
      </c>
      <c r="B22" s="23"/>
      <c r="C22" s="21"/>
      <c r="D22" s="42"/>
      <c r="E22" s="24"/>
      <c r="F22" s="25"/>
      <c r="G22" s="26"/>
      <c r="H22" s="30" t="str">
        <f t="shared" si="0"/>
        <v/>
      </c>
      <c r="I22" s="41"/>
      <c r="J22" s="25"/>
      <c r="K22" s="27"/>
      <c r="L22" s="27"/>
      <c r="M22" s="27"/>
      <c r="N22" s="27"/>
      <c r="O22" s="27"/>
    </row>
    <row r="23" spans="1:15" hidden="1" x14ac:dyDescent="0.15">
      <c r="A23" s="37">
        <v>15</v>
      </c>
      <c r="B23" s="23"/>
      <c r="C23" s="21"/>
      <c r="D23" s="42"/>
      <c r="E23" s="24"/>
      <c r="F23" s="25"/>
      <c r="G23" s="26"/>
      <c r="H23" s="30" t="str">
        <f t="shared" si="0"/>
        <v/>
      </c>
      <c r="I23" s="41"/>
      <c r="J23" s="25"/>
      <c r="K23" s="27"/>
      <c r="L23" s="27"/>
      <c r="M23" s="27"/>
      <c r="N23" s="27"/>
      <c r="O23" s="27"/>
    </row>
    <row r="24" spans="1:15" hidden="1" x14ac:dyDescent="0.15">
      <c r="A24" s="37">
        <v>16</v>
      </c>
      <c r="B24" s="23"/>
      <c r="C24" s="21"/>
      <c r="D24" s="42"/>
      <c r="E24" s="24"/>
      <c r="F24" s="25"/>
      <c r="G24" s="26"/>
      <c r="H24" s="30" t="str">
        <f t="shared" si="0"/>
        <v/>
      </c>
      <c r="I24" s="41"/>
      <c r="J24" s="25"/>
      <c r="K24" s="27"/>
      <c r="L24" s="27"/>
      <c r="M24" s="27"/>
      <c r="N24" s="27"/>
      <c r="O24" s="27"/>
    </row>
    <row r="25" spans="1:15" hidden="1" x14ac:dyDescent="0.15">
      <c r="A25" s="37">
        <v>17</v>
      </c>
      <c r="B25" s="23"/>
      <c r="C25" s="21"/>
      <c r="D25" s="42"/>
      <c r="E25" s="24"/>
      <c r="F25" s="25"/>
      <c r="G25" s="26"/>
      <c r="H25" s="30" t="str">
        <f t="shared" si="0"/>
        <v/>
      </c>
      <c r="I25" s="41"/>
      <c r="J25" s="25"/>
      <c r="K25" s="27"/>
      <c r="L25" s="27"/>
      <c r="M25" s="27"/>
      <c r="N25" s="27"/>
      <c r="O25" s="27"/>
    </row>
    <row r="26" spans="1:15" hidden="1" x14ac:dyDescent="0.15">
      <c r="A26" s="37">
        <v>18</v>
      </c>
      <c r="B26" s="23"/>
      <c r="C26" s="21"/>
      <c r="D26" s="42"/>
      <c r="E26" s="24"/>
      <c r="F26" s="25"/>
      <c r="G26" s="26"/>
      <c r="H26" s="30" t="str">
        <f t="shared" si="0"/>
        <v/>
      </c>
      <c r="I26" s="41"/>
      <c r="J26" s="25"/>
      <c r="K26" s="27"/>
      <c r="L26" s="27"/>
      <c r="M26" s="27"/>
      <c r="N26" s="27"/>
      <c r="O26" s="27"/>
    </row>
    <row r="27" spans="1:15" hidden="1" x14ac:dyDescent="0.15">
      <c r="A27" s="37">
        <v>19</v>
      </c>
      <c r="B27" s="23"/>
      <c r="C27" s="21"/>
      <c r="D27" s="42"/>
      <c r="E27" s="24"/>
      <c r="F27" s="25"/>
      <c r="G27" s="26"/>
      <c r="H27" s="30" t="str">
        <f t="shared" si="0"/>
        <v/>
      </c>
      <c r="I27" s="41"/>
      <c r="J27" s="25"/>
      <c r="K27" s="27"/>
      <c r="L27" s="27"/>
      <c r="M27" s="27"/>
      <c r="N27" s="27"/>
      <c r="O27" s="27"/>
    </row>
    <row r="28" spans="1:15" hidden="1" x14ac:dyDescent="0.15">
      <c r="A28" s="37">
        <v>20</v>
      </c>
      <c r="B28" s="23"/>
      <c r="C28" s="21"/>
      <c r="D28" s="42"/>
      <c r="E28" s="24"/>
      <c r="F28" s="25"/>
      <c r="G28" s="26"/>
      <c r="H28" s="30" t="str">
        <f t="shared" si="0"/>
        <v/>
      </c>
      <c r="I28" s="41"/>
      <c r="J28" s="25"/>
      <c r="K28" s="27"/>
      <c r="L28" s="27"/>
      <c r="M28" s="27"/>
      <c r="N28" s="27"/>
      <c r="O28" s="27"/>
    </row>
    <row r="29" spans="1:15" hidden="1" x14ac:dyDescent="0.15">
      <c r="A29" s="37">
        <v>21</v>
      </c>
      <c r="B29" s="23"/>
      <c r="C29" s="21"/>
      <c r="D29" s="42"/>
      <c r="E29" s="24"/>
      <c r="F29" s="25"/>
      <c r="G29" s="26"/>
      <c r="H29" s="30" t="str">
        <f t="shared" si="0"/>
        <v/>
      </c>
      <c r="I29" s="41"/>
      <c r="J29" s="25"/>
      <c r="K29" s="27"/>
      <c r="L29" s="27"/>
      <c r="M29" s="27"/>
      <c r="N29" s="27"/>
      <c r="O29" s="27"/>
    </row>
    <row r="30" spans="1:15" hidden="1" x14ac:dyDescent="0.15">
      <c r="A30" s="37">
        <v>22</v>
      </c>
      <c r="B30" s="23"/>
      <c r="C30" s="21"/>
      <c r="D30" s="42"/>
      <c r="E30" s="24"/>
      <c r="F30" s="25"/>
      <c r="G30" s="26"/>
      <c r="H30" s="30" t="str">
        <f t="shared" si="0"/>
        <v/>
      </c>
      <c r="I30" s="41"/>
      <c r="J30" s="25"/>
      <c r="K30" s="27"/>
      <c r="L30" s="27"/>
      <c r="M30" s="27"/>
      <c r="N30" s="27"/>
      <c r="O30" s="27"/>
    </row>
    <row r="31" spans="1:15" hidden="1" x14ac:dyDescent="0.15">
      <c r="A31" s="37">
        <v>23</v>
      </c>
      <c r="B31" s="23"/>
      <c r="C31" s="21"/>
      <c r="D31" s="42"/>
      <c r="E31" s="24"/>
      <c r="F31" s="25"/>
      <c r="G31" s="26"/>
      <c r="H31" s="30" t="str">
        <f t="shared" si="0"/>
        <v/>
      </c>
      <c r="I31" s="41"/>
      <c r="J31" s="25"/>
      <c r="K31" s="27"/>
      <c r="L31" s="27"/>
      <c r="M31" s="27"/>
      <c r="N31" s="27"/>
      <c r="O31" s="27"/>
    </row>
    <row r="32" spans="1:15" hidden="1" x14ac:dyDescent="0.15">
      <c r="A32" s="37">
        <v>24</v>
      </c>
      <c r="B32" s="23"/>
      <c r="C32" s="21"/>
      <c r="D32" s="42"/>
      <c r="E32" s="24"/>
      <c r="F32" s="25"/>
      <c r="G32" s="26"/>
      <c r="H32" s="30" t="str">
        <f t="shared" si="0"/>
        <v/>
      </c>
      <c r="I32" s="41"/>
      <c r="J32" s="25"/>
      <c r="K32" s="27"/>
      <c r="L32" s="27"/>
      <c r="M32" s="27"/>
      <c r="N32" s="27"/>
      <c r="O32" s="27"/>
    </row>
    <row r="33" spans="1:15" hidden="1" x14ac:dyDescent="0.15">
      <c r="A33" s="37">
        <v>25</v>
      </c>
      <c r="B33" s="23"/>
      <c r="C33" s="21"/>
      <c r="D33" s="42"/>
      <c r="E33" s="24"/>
      <c r="F33" s="25"/>
      <c r="G33" s="26"/>
      <c r="H33" s="30" t="str">
        <f t="shared" si="0"/>
        <v/>
      </c>
      <c r="I33" s="41"/>
      <c r="J33" s="25"/>
      <c r="K33" s="27"/>
      <c r="L33" s="27"/>
      <c r="M33" s="27"/>
      <c r="N33" s="27"/>
      <c r="O33" s="27"/>
    </row>
    <row r="34" spans="1:15" hidden="1" x14ac:dyDescent="0.15">
      <c r="A34" s="37">
        <v>26</v>
      </c>
      <c r="B34" s="23"/>
      <c r="C34" s="21"/>
      <c r="D34" s="42"/>
      <c r="E34" s="24"/>
      <c r="F34" s="25"/>
      <c r="G34" s="26"/>
      <c r="H34" s="30" t="str">
        <f t="shared" si="0"/>
        <v/>
      </c>
      <c r="I34" s="41"/>
      <c r="J34" s="25"/>
      <c r="K34" s="27"/>
      <c r="L34" s="27"/>
      <c r="M34" s="27"/>
      <c r="N34" s="27"/>
      <c r="O34" s="27"/>
    </row>
    <row r="35" spans="1:15" hidden="1" x14ac:dyDescent="0.15">
      <c r="A35" s="37">
        <v>27</v>
      </c>
      <c r="B35" s="23"/>
      <c r="C35" s="21"/>
      <c r="D35" s="42"/>
      <c r="E35" s="24"/>
      <c r="F35" s="25"/>
      <c r="G35" s="26"/>
      <c r="H35" s="30" t="str">
        <f t="shared" si="0"/>
        <v/>
      </c>
      <c r="I35" s="41"/>
      <c r="J35" s="25"/>
      <c r="K35" s="27"/>
      <c r="L35" s="27"/>
      <c r="M35" s="27"/>
      <c r="N35" s="27"/>
      <c r="O35" s="27"/>
    </row>
    <row r="36" spans="1:15" hidden="1" x14ac:dyDescent="0.15">
      <c r="A36" s="37">
        <v>28</v>
      </c>
      <c r="B36" s="23"/>
      <c r="C36" s="21"/>
      <c r="D36" s="42"/>
      <c r="E36" s="24"/>
      <c r="F36" s="25"/>
      <c r="G36" s="26"/>
      <c r="H36" s="30" t="str">
        <f t="shared" si="0"/>
        <v/>
      </c>
      <c r="I36" s="41"/>
      <c r="J36" s="25"/>
      <c r="K36" s="27"/>
      <c r="L36" s="27"/>
      <c r="M36" s="27"/>
      <c r="N36" s="27"/>
      <c r="O36" s="27"/>
    </row>
    <row r="37" spans="1:15" hidden="1" x14ac:dyDescent="0.15">
      <c r="A37" s="37">
        <v>29</v>
      </c>
      <c r="B37" s="23"/>
      <c r="C37" s="21"/>
      <c r="D37" s="42"/>
      <c r="E37" s="24"/>
      <c r="F37" s="25"/>
      <c r="G37" s="26"/>
      <c r="H37" s="30" t="str">
        <f t="shared" si="0"/>
        <v/>
      </c>
      <c r="I37" s="41"/>
      <c r="J37" s="25"/>
      <c r="K37" s="27"/>
      <c r="L37" s="27"/>
      <c r="M37" s="27"/>
      <c r="N37" s="27"/>
      <c r="O37" s="27"/>
    </row>
    <row r="38" spans="1:15" hidden="1" x14ac:dyDescent="0.15">
      <c r="A38" s="37">
        <v>30</v>
      </c>
      <c r="B38" s="23"/>
      <c r="C38" s="21"/>
      <c r="D38" s="42"/>
      <c r="E38" s="24"/>
      <c r="F38" s="25"/>
      <c r="G38" s="26"/>
      <c r="H38" s="30" t="str">
        <f t="shared" si="0"/>
        <v/>
      </c>
      <c r="I38" s="41"/>
      <c r="J38" s="25"/>
      <c r="K38" s="27"/>
      <c r="L38" s="27"/>
      <c r="M38" s="27"/>
      <c r="N38" s="27"/>
      <c r="O38" s="27"/>
    </row>
    <row r="39" spans="1:15" hidden="1" x14ac:dyDescent="0.15">
      <c r="A39" s="37">
        <v>31</v>
      </c>
      <c r="B39" s="23"/>
      <c r="C39" s="21"/>
      <c r="D39" s="42"/>
      <c r="E39" s="24"/>
      <c r="F39" s="25"/>
      <c r="G39" s="26"/>
      <c r="H39" s="30" t="str">
        <f t="shared" si="0"/>
        <v/>
      </c>
      <c r="I39" s="41"/>
      <c r="J39" s="25"/>
      <c r="K39" s="27"/>
      <c r="L39" s="27"/>
      <c r="M39" s="27"/>
      <c r="N39" s="27"/>
      <c r="O39" s="27"/>
    </row>
    <row r="40" spans="1:15" hidden="1" x14ac:dyDescent="0.15">
      <c r="A40" s="37">
        <v>32</v>
      </c>
      <c r="B40" s="23"/>
      <c r="C40" s="21"/>
      <c r="D40" s="42"/>
      <c r="E40" s="24"/>
      <c r="F40" s="25"/>
      <c r="G40" s="26"/>
      <c r="H40" s="30" t="str">
        <f t="shared" si="0"/>
        <v/>
      </c>
      <c r="I40" s="41"/>
      <c r="J40" s="25"/>
      <c r="K40" s="27"/>
      <c r="L40" s="27"/>
      <c r="M40" s="27"/>
      <c r="N40" s="27"/>
      <c r="O40" s="27"/>
    </row>
    <row r="41" spans="1:15" hidden="1" x14ac:dyDescent="0.15">
      <c r="A41" s="37">
        <v>33</v>
      </c>
      <c r="B41" s="23"/>
      <c r="C41" s="21"/>
      <c r="D41" s="42"/>
      <c r="E41" s="24"/>
      <c r="F41" s="25"/>
      <c r="G41" s="26"/>
      <c r="H41" s="30" t="str">
        <f t="shared" si="0"/>
        <v/>
      </c>
      <c r="I41" s="41"/>
      <c r="J41" s="25"/>
      <c r="K41" s="27"/>
      <c r="L41" s="27"/>
      <c r="M41" s="27"/>
      <c r="N41" s="27"/>
      <c r="O41" s="27"/>
    </row>
    <row r="42" spans="1:15" hidden="1" x14ac:dyDescent="0.15">
      <c r="A42" s="37">
        <v>34</v>
      </c>
      <c r="B42" s="23"/>
      <c r="C42" s="21"/>
      <c r="D42" s="42"/>
      <c r="E42" s="24"/>
      <c r="F42" s="25"/>
      <c r="G42" s="26"/>
      <c r="H42" s="30" t="str">
        <f t="shared" si="0"/>
        <v/>
      </c>
      <c r="I42" s="41"/>
      <c r="J42" s="25"/>
      <c r="K42" s="27"/>
      <c r="L42" s="27"/>
      <c r="M42" s="27"/>
      <c r="N42" s="27"/>
      <c r="O42" s="27"/>
    </row>
    <row r="43" spans="1:15" hidden="1" x14ac:dyDescent="0.15">
      <c r="A43" s="37">
        <v>35</v>
      </c>
      <c r="B43" s="23"/>
      <c r="C43" s="21"/>
      <c r="D43" s="42"/>
      <c r="E43" s="24"/>
      <c r="F43" s="25"/>
      <c r="G43" s="26"/>
      <c r="H43" s="30" t="str">
        <f t="shared" si="0"/>
        <v/>
      </c>
      <c r="I43" s="41"/>
      <c r="J43" s="25"/>
      <c r="K43" s="27"/>
      <c r="L43" s="27"/>
      <c r="M43" s="27"/>
      <c r="N43" s="27"/>
      <c r="O43" s="27"/>
    </row>
    <row r="44" spans="1:15" hidden="1" x14ac:dyDescent="0.15">
      <c r="A44" s="37">
        <v>36</v>
      </c>
      <c r="B44" s="23"/>
      <c r="C44" s="21"/>
      <c r="D44" s="42"/>
      <c r="E44" s="24"/>
      <c r="F44" s="25"/>
      <c r="G44" s="26"/>
      <c r="H44" s="30" t="str">
        <f t="shared" si="0"/>
        <v/>
      </c>
      <c r="I44" s="41"/>
      <c r="J44" s="25"/>
      <c r="K44" s="27"/>
      <c r="L44" s="27"/>
      <c r="M44" s="27"/>
      <c r="N44" s="27"/>
      <c r="O44" s="27"/>
    </row>
    <row r="45" spans="1:15" hidden="1" x14ac:dyDescent="0.15">
      <c r="A45" s="37">
        <v>37</v>
      </c>
      <c r="B45" s="23"/>
      <c r="C45" s="21"/>
      <c r="D45" s="42"/>
      <c r="E45" s="24"/>
      <c r="F45" s="25"/>
      <c r="G45" s="26"/>
      <c r="H45" s="30" t="str">
        <f t="shared" si="0"/>
        <v/>
      </c>
      <c r="I45" s="41"/>
      <c r="J45" s="25"/>
      <c r="K45" s="27"/>
      <c r="L45" s="27"/>
      <c r="M45" s="27"/>
      <c r="N45" s="27"/>
      <c r="O45" s="27"/>
    </row>
    <row r="46" spans="1:15" hidden="1" x14ac:dyDescent="0.15">
      <c r="A46" s="37">
        <v>38</v>
      </c>
      <c r="B46" s="23"/>
      <c r="C46" s="21"/>
      <c r="D46" s="42"/>
      <c r="E46" s="24"/>
      <c r="F46" s="25"/>
      <c r="G46" s="26"/>
      <c r="H46" s="30" t="str">
        <f t="shared" si="0"/>
        <v/>
      </c>
      <c r="I46" s="41"/>
      <c r="J46" s="25"/>
      <c r="K46" s="27"/>
      <c r="L46" s="27"/>
      <c r="M46" s="27"/>
      <c r="N46" s="27"/>
      <c r="O46" s="27"/>
    </row>
    <row r="47" spans="1:15" hidden="1" x14ac:dyDescent="0.15">
      <c r="A47" s="37">
        <v>39</v>
      </c>
      <c r="B47" s="23"/>
      <c r="C47" s="21"/>
      <c r="D47" s="42"/>
      <c r="E47" s="24"/>
      <c r="F47" s="25"/>
      <c r="G47" s="26"/>
      <c r="H47" s="30" t="str">
        <f t="shared" si="0"/>
        <v/>
      </c>
      <c r="I47" s="41"/>
      <c r="J47" s="25"/>
      <c r="K47" s="27"/>
      <c r="L47" s="27"/>
      <c r="M47" s="27"/>
      <c r="N47" s="27"/>
      <c r="O47" s="27"/>
    </row>
    <row r="48" spans="1:15" hidden="1" x14ac:dyDescent="0.15">
      <c r="A48" s="37">
        <v>40</v>
      </c>
      <c r="B48" s="23"/>
      <c r="C48" s="21"/>
      <c r="D48" s="42"/>
      <c r="E48" s="24"/>
      <c r="F48" s="25"/>
      <c r="G48" s="26"/>
      <c r="H48" s="30" t="str">
        <f t="shared" si="0"/>
        <v/>
      </c>
      <c r="I48" s="41"/>
      <c r="J48" s="25"/>
      <c r="K48" s="27"/>
      <c r="L48" s="27"/>
      <c r="M48" s="27"/>
      <c r="N48" s="27"/>
      <c r="O48" s="27"/>
    </row>
    <row r="49" spans="1:15" hidden="1" x14ac:dyDescent="0.15">
      <c r="A49" s="37">
        <v>41</v>
      </c>
      <c r="B49" s="23"/>
      <c r="C49" s="21"/>
      <c r="D49" s="42"/>
      <c r="E49" s="24"/>
      <c r="F49" s="25"/>
      <c r="G49" s="26"/>
      <c r="H49" s="30" t="str">
        <f t="shared" si="0"/>
        <v/>
      </c>
      <c r="I49" s="41"/>
      <c r="J49" s="25"/>
      <c r="K49" s="27"/>
      <c r="L49" s="27"/>
      <c r="M49" s="27"/>
      <c r="N49" s="27"/>
      <c r="O49" s="27"/>
    </row>
    <row r="50" spans="1:15" hidden="1" x14ac:dyDescent="0.15">
      <c r="A50" s="37">
        <v>42</v>
      </c>
      <c r="B50" s="23"/>
      <c r="C50" s="21"/>
      <c r="D50" s="42"/>
      <c r="E50" s="24"/>
      <c r="F50" s="25"/>
      <c r="G50" s="26"/>
      <c r="H50" s="30" t="str">
        <f t="shared" si="0"/>
        <v/>
      </c>
      <c r="I50" s="41"/>
      <c r="J50" s="25"/>
      <c r="K50" s="27"/>
      <c r="L50" s="27"/>
      <c r="M50" s="27"/>
      <c r="N50" s="27"/>
      <c r="O50" s="27"/>
    </row>
    <row r="51" spans="1:15" hidden="1" x14ac:dyDescent="0.15">
      <c r="A51" s="37">
        <v>43</v>
      </c>
      <c r="B51" s="23"/>
      <c r="C51" s="21"/>
      <c r="D51" s="42"/>
      <c r="E51" s="24"/>
      <c r="F51" s="25"/>
      <c r="G51" s="26"/>
      <c r="H51" s="30" t="str">
        <f t="shared" si="0"/>
        <v/>
      </c>
      <c r="I51" s="41"/>
      <c r="J51" s="25"/>
      <c r="K51" s="27"/>
      <c r="L51" s="27"/>
      <c r="M51" s="27"/>
      <c r="N51" s="27"/>
      <c r="O51" s="27"/>
    </row>
    <row r="52" spans="1:15" hidden="1" x14ac:dyDescent="0.15">
      <c r="A52" s="37">
        <v>44</v>
      </c>
      <c r="B52" s="23"/>
      <c r="C52" s="21"/>
      <c r="D52" s="42"/>
      <c r="E52" s="24"/>
      <c r="F52" s="25"/>
      <c r="G52" s="26"/>
      <c r="H52" s="30" t="str">
        <f t="shared" si="0"/>
        <v/>
      </c>
      <c r="I52" s="41"/>
      <c r="J52" s="25"/>
      <c r="K52" s="27"/>
      <c r="L52" s="27"/>
      <c r="M52" s="27"/>
      <c r="N52" s="27"/>
      <c r="O52" s="27"/>
    </row>
    <row r="53" spans="1:15" hidden="1" x14ac:dyDescent="0.15">
      <c r="A53" s="37">
        <v>45</v>
      </c>
      <c r="B53" s="23"/>
      <c r="C53" s="21"/>
      <c r="D53" s="42"/>
      <c r="E53" s="24"/>
      <c r="F53" s="25"/>
      <c r="G53" s="26"/>
      <c r="H53" s="30" t="str">
        <f t="shared" si="0"/>
        <v/>
      </c>
      <c r="I53" s="41"/>
      <c r="J53" s="25"/>
      <c r="K53" s="27"/>
      <c r="L53" s="27"/>
      <c r="M53" s="27"/>
      <c r="N53" s="27"/>
      <c r="O53" s="27"/>
    </row>
    <row r="54" spans="1:15" hidden="1" x14ac:dyDescent="0.15">
      <c r="A54" s="37">
        <v>46</v>
      </c>
      <c r="B54" s="23"/>
      <c r="C54" s="21"/>
      <c r="D54" s="42"/>
      <c r="E54" s="24"/>
      <c r="F54" s="25"/>
      <c r="G54" s="26"/>
      <c r="H54" s="30" t="str">
        <f t="shared" si="0"/>
        <v/>
      </c>
      <c r="I54" s="41"/>
      <c r="J54" s="25"/>
      <c r="K54" s="27"/>
      <c r="L54" s="27"/>
      <c r="M54" s="27"/>
      <c r="N54" s="27"/>
      <c r="O54" s="27"/>
    </row>
    <row r="55" spans="1:15" hidden="1" x14ac:dyDescent="0.15">
      <c r="A55" s="37">
        <v>47</v>
      </c>
      <c r="B55" s="23"/>
      <c r="C55" s="21"/>
      <c r="D55" s="42"/>
      <c r="E55" s="24"/>
      <c r="F55" s="25"/>
      <c r="G55" s="26"/>
      <c r="H55" s="30" t="str">
        <f t="shared" si="0"/>
        <v/>
      </c>
      <c r="I55" s="41"/>
      <c r="J55" s="25"/>
      <c r="K55" s="27"/>
      <c r="L55" s="27"/>
      <c r="M55" s="27"/>
      <c r="N55" s="27"/>
      <c r="O55" s="27"/>
    </row>
    <row r="56" spans="1:15" hidden="1" x14ac:dyDescent="0.15">
      <c r="A56" s="37">
        <v>48</v>
      </c>
      <c r="B56" s="23"/>
      <c r="C56" s="21"/>
      <c r="D56" s="42"/>
      <c r="E56" s="24"/>
      <c r="F56" s="25"/>
      <c r="G56" s="26"/>
      <c r="H56" s="30" t="str">
        <f t="shared" si="0"/>
        <v/>
      </c>
      <c r="I56" s="41"/>
      <c r="J56" s="25"/>
      <c r="K56" s="27"/>
      <c r="L56" s="27"/>
      <c r="M56" s="27"/>
      <c r="N56" s="27"/>
      <c r="O56" s="27"/>
    </row>
    <row r="57" spans="1:15" hidden="1" x14ac:dyDescent="0.15">
      <c r="A57" s="37">
        <v>49</v>
      </c>
      <c r="B57" s="23"/>
      <c r="C57" s="21"/>
      <c r="D57" s="42"/>
      <c r="E57" s="24"/>
      <c r="F57" s="25"/>
      <c r="G57" s="26"/>
      <c r="H57" s="30" t="str">
        <f t="shared" si="0"/>
        <v/>
      </c>
      <c r="I57" s="41"/>
      <c r="J57" s="25"/>
      <c r="K57" s="27"/>
      <c r="L57" s="27"/>
      <c r="M57" s="27"/>
      <c r="N57" s="27"/>
      <c r="O57" s="27"/>
    </row>
    <row r="58" spans="1:15" hidden="1" x14ac:dyDescent="0.15">
      <c r="A58" s="37">
        <v>50</v>
      </c>
      <c r="B58" s="23"/>
      <c r="C58" s="21"/>
      <c r="D58" s="42"/>
      <c r="E58" s="24"/>
      <c r="F58" s="25"/>
      <c r="G58" s="26"/>
      <c r="H58" s="30" t="str">
        <f t="shared" si="0"/>
        <v/>
      </c>
      <c r="I58" s="41"/>
      <c r="J58" s="25"/>
      <c r="K58" s="27"/>
      <c r="L58" s="27"/>
      <c r="M58" s="27"/>
      <c r="N58" s="27"/>
      <c r="O58" s="27"/>
    </row>
    <row r="59" spans="1:15" hidden="1" x14ac:dyDescent="0.15">
      <c r="A59" s="37">
        <v>51</v>
      </c>
      <c r="B59" s="23"/>
      <c r="C59" s="21"/>
      <c r="D59" s="42"/>
      <c r="E59" s="24"/>
      <c r="F59" s="25"/>
      <c r="G59" s="26"/>
      <c r="H59" s="30" t="str">
        <f t="shared" si="0"/>
        <v/>
      </c>
      <c r="I59" s="41"/>
      <c r="J59" s="25"/>
      <c r="K59" s="27"/>
      <c r="L59" s="27"/>
      <c r="M59" s="27"/>
      <c r="N59" s="27"/>
      <c r="O59" s="27"/>
    </row>
    <row r="60" spans="1:15" hidden="1" x14ac:dyDescent="0.15">
      <c r="A60" s="37">
        <v>52</v>
      </c>
      <c r="B60" s="23"/>
      <c r="C60" s="21"/>
      <c r="D60" s="42"/>
      <c r="E60" s="24"/>
      <c r="F60" s="25"/>
      <c r="G60" s="26"/>
      <c r="H60" s="30" t="str">
        <f t="shared" si="0"/>
        <v/>
      </c>
      <c r="I60" s="41"/>
      <c r="J60" s="25"/>
      <c r="K60" s="27"/>
      <c r="L60" s="27"/>
      <c r="M60" s="27"/>
      <c r="N60" s="27"/>
      <c r="O60" s="27"/>
    </row>
    <row r="61" spans="1:15" hidden="1" x14ac:dyDescent="0.15">
      <c r="A61" s="37">
        <v>53</v>
      </c>
      <c r="B61" s="23"/>
      <c r="C61" s="21"/>
      <c r="D61" s="42"/>
      <c r="E61" s="24"/>
      <c r="F61" s="25"/>
      <c r="G61" s="26"/>
      <c r="H61" s="30" t="str">
        <f t="shared" si="0"/>
        <v/>
      </c>
      <c r="I61" s="41"/>
      <c r="J61" s="25"/>
      <c r="K61" s="27"/>
      <c r="L61" s="27"/>
      <c r="M61" s="27"/>
      <c r="N61" s="27"/>
      <c r="O61" s="27"/>
    </row>
    <row r="62" spans="1:15" hidden="1" x14ac:dyDescent="0.15">
      <c r="A62" s="37">
        <v>54</v>
      </c>
      <c r="B62" s="23"/>
      <c r="C62" s="21"/>
      <c r="D62" s="42"/>
      <c r="E62" s="24"/>
      <c r="F62" s="25"/>
      <c r="G62" s="26"/>
      <c r="H62" s="30" t="str">
        <f t="shared" si="0"/>
        <v/>
      </c>
      <c r="I62" s="41"/>
      <c r="J62" s="25"/>
      <c r="K62" s="27"/>
      <c r="L62" s="27"/>
      <c r="M62" s="27"/>
      <c r="N62" s="27"/>
      <c r="O62" s="27"/>
    </row>
    <row r="63" spans="1:15" hidden="1" x14ac:dyDescent="0.15">
      <c r="A63" s="37">
        <v>55</v>
      </c>
      <c r="B63" s="23"/>
      <c r="C63" s="21"/>
      <c r="D63" s="42"/>
      <c r="E63" s="24"/>
      <c r="F63" s="25"/>
      <c r="G63" s="26"/>
      <c r="H63" s="30" t="str">
        <f t="shared" si="0"/>
        <v/>
      </c>
      <c r="I63" s="41"/>
      <c r="J63" s="25"/>
      <c r="K63" s="27"/>
      <c r="L63" s="27"/>
      <c r="M63" s="27"/>
      <c r="N63" s="27"/>
      <c r="O63" s="27"/>
    </row>
    <row r="64" spans="1:15" hidden="1" x14ac:dyDescent="0.15">
      <c r="A64" s="37">
        <v>56</v>
      </c>
      <c r="B64" s="23"/>
      <c r="C64" s="21"/>
      <c r="D64" s="42"/>
      <c r="E64" s="24"/>
      <c r="F64" s="25"/>
      <c r="G64" s="26"/>
      <c r="H64" s="30" t="str">
        <f t="shared" si="0"/>
        <v/>
      </c>
      <c r="I64" s="41"/>
      <c r="J64" s="25"/>
      <c r="K64" s="27"/>
      <c r="L64" s="27"/>
      <c r="M64" s="27"/>
      <c r="N64" s="27"/>
      <c r="O64" s="27"/>
    </row>
    <row r="65" spans="1:15" hidden="1" x14ac:dyDescent="0.15">
      <c r="A65" s="37">
        <v>57</v>
      </c>
      <c r="B65" s="23"/>
      <c r="C65" s="21"/>
      <c r="D65" s="42"/>
      <c r="E65" s="24"/>
      <c r="F65" s="25"/>
      <c r="G65" s="26"/>
      <c r="H65" s="30" t="str">
        <f t="shared" si="0"/>
        <v/>
      </c>
      <c r="I65" s="41"/>
      <c r="J65" s="25"/>
      <c r="K65" s="27"/>
      <c r="L65" s="27"/>
      <c r="M65" s="27"/>
      <c r="N65" s="27"/>
      <c r="O65" s="27"/>
    </row>
    <row r="66" spans="1:15" hidden="1" x14ac:dyDescent="0.15">
      <c r="A66" s="37">
        <v>58</v>
      </c>
      <c r="B66" s="23"/>
      <c r="C66" s="21"/>
      <c r="D66" s="42"/>
      <c r="E66" s="24"/>
      <c r="F66" s="25"/>
      <c r="G66" s="26"/>
      <c r="H66" s="30" t="str">
        <f t="shared" si="0"/>
        <v/>
      </c>
      <c r="I66" s="41"/>
      <c r="J66" s="25"/>
      <c r="K66" s="27"/>
      <c r="L66" s="27"/>
      <c r="M66" s="27"/>
      <c r="N66" s="27"/>
      <c r="O66" s="27"/>
    </row>
    <row r="67" spans="1:15" hidden="1" x14ac:dyDescent="0.15">
      <c r="A67" s="37">
        <v>59</v>
      </c>
      <c r="B67" s="23"/>
      <c r="C67" s="21"/>
      <c r="D67" s="42"/>
      <c r="E67" s="24"/>
      <c r="F67" s="25"/>
      <c r="G67" s="26"/>
      <c r="H67" s="30" t="str">
        <f t="shared" si="0"/>
        <v/>
      </c>
      <c r="I67" s="41"/>
      <c r="J67" s="25"/>
      <c r="K67" s="27"/>
      <c r="L67" s="27"/>
      <c r="M67" s="27"/>
      <c r="N67" s="27"/>
      <c r="O67" s="27"/>
    </row>
    <row r="68" spans="1:15" hidden="1" x14ac:dyDescent="0.15">
      <c r="A68" s="37">
        <v>60</v>
      </c>
      <c r="B68" s="23"/>
      <c r="C68" s="21"/>
      <c r="D68" s="42"/>
      <c r="E68" s="24"/>
      <c r="F68" s="25"/>
      <c r="G68" s="26"/>
      <c r="H68" s="30" t="str">
        <f t="shared" si="0"/>
        <v/>
      </c>
      <c r="I68" s="41"/>
      <c r="J68" s="25"/>
      <c r="K68" s="27"/>
      <c r="L68" s="27"/>
      <c r="M68" s="27"/>
      <c r="N68" s="27"/>
      <c r="O68" s="27"/>
    </row>
    <row r="69" spans="1:15" hidden="1" x14ac:dyDescent="0.15">
      <c r="A69" s="37">
        <v>61</v>
      </c>
      <c r="B69" s="23"/>
      <c r="C69" s="21"/>
      <c r="D69" s="42"/>
      <c r="E69" s="24"/>
      <c r="F69" s="25"/>
      <c r="G69" s="26"/>
      <c r="H69" s="30" t="str">
        <f t="shared" si="0"/>
        <v/>
      </c>
      <c r="I69" s="41"/>
      <c r="J69" s="25"/>
      <c r="K69" s="27"/>
      <c r="L69" s="27"/>
      <c r="M69" s="27"/>
      <c r="N69" s="27"/>
      <c r="O69" s="27"/>
    </row>
    <row r="70" spans="1:15" hidden="1" x14ac:dyDescent="0.15">
      <c r="A70" s="37">
        <v>62</v>
      </c>
      <c r="B70" s="23"/>
      <c r="C70" s="21"/>
      <c r="D70" s="42"/>
      <c r="E70" s="24"/>
      <c r="F70" s="25"/>
      <c r="G70" s="26"/>
      <c r="H70" s="30" t="str">
        <f t="shared" si="0"/>
        <v/>
      </c>
      <c r="I70" s="41"/>
      <c r="J70" s="25"/>
      <c r="K70" s="27"/>
      <c r="L70" s="27"/>
      <c r="M70" s="27"/>
      <c r="N70" s="27"/>
      <c r="O70" s="27"/>
    </row>
    <row r="71" spans="1:15" hidden="1" x14ac:dyDescent="0.15">
      <c r="A71" s="37">
        <v>63</v>
      </c>
      <c r="B71" s="23"/>
      <c r="C71" s="21"/>
      <c r="D71" s="42"/>
      <c r="E71" s="24"/>
      <c r="F71" s="25"/>
      <c r="G71" s="26"/>
      <c r="H71" s="30" t="str">
        <f t="shared" si="0"/>
        <v/>
      </c>
      <c r="I71" s="41"/>
      <c r="J71" s="25"/>
      <c r="K71" s="27"/>
      <c r="L71" s="27"/>
      <c r="M71" s="27"/>
      <c r="N71" s="27"/>
      <c r="O71" s="27"/>
    </row>
    <row r="72" spans="1:15" hidden="1" x14ac:dyDescent="0.15">
      <c r="A72" s="37">
        <v>64</v>
      </c>
      <c r="B72" s="23"/>
      <c r="C72" s="21"/>
      <c r="D72" s="42"/>
      <c r="E72" s="24"/>
      <c r="F72" s="25"/>
      <c r="G72" s="26"/>
      <c r="H72" s="30" t="str">
        <f t="shared" si="0"/>
        <v/>
      </c>
      <c r="I72" s="41"/>
      <c r="J72" s="25"/>
      <c r="K72" s="27"/>
      <c r="L72" s="27"/>
      <c r="M72" s="27"/>
      <c r="N72" s="27"/>
      <c r="O72" s="27"/>
    </row>
    <row r="73" spans="1:15" hidden="1" x14ac:dyDescent="0.15">
      <c r="A73" s="37">
        <v>65</v>
      </c>
      <c r="B73" s="23"/>
      <c r="C73" s="21"/>
      <c r="D73" s="42"/>
      <c r="E73" s="24"/>
      <c r="F73" s="25"/>
      <c r="G73" s="26"/>
      <c r="H73" s="30" t="str">
        <f t="shared" si="0"/>
        <v/>
      </c>
      <c r="I73" s="41"/>
      <c r="J73" s="25"/>
      <c r="K73" s="27"/>
      <c r="L73" s="27"/>
      <c r="M73" s="27"/>
      <c r="N73" s="27"/>
      <c r="O73" s="27"/>
    </row>
    <row r="74" spans="1:15" hidden="1" x14ac:dyDescent="0.15">
      <c r="A74" s="37">
        <v>66</v>
      </c>
      <c r="B74" s="23"/>
      <c r="C74" s="21"/>
      <c r="D74" s="42"/>
      <c r="E74" s="24"/>
      <c r="F74" s="25"/>
      <c r="G74" s="26"/>
      <c r="H74" s="30" t="str">
        <f t="shared" ref="H74:H108" si="1">IF(AND(D74&lt;&gt;"", F74&lt;&gt;""),D74*F74+J74,"")</f>
        <v/>
      </c>
      <c r="I74" s="41"/>
      <c r="J74" s="25"/>
      <c r="K74" s="27"/>
      <c r="L74" s="27"/>
      <c r="M74" s="27"/>
      <c r="N74" s="27"/>
      <c r="O74" s="27"/>
    </row>
    <row r="75" spans="1:15" hidden="1" x14ac:dyDescent="0.15">
      <c r="A75" s="37">
        <v>67</v>
      </c>
      <c r="B75" s="23"/>
      <c r="C75" s="21"/>
      <c r="D75" s="42"/>
      <c r="E75" s="24"/>
      <c r="F75" s="25"/>
      <c r="G75" s="26"/>
      <c r="H75" s="30" t="str">
        <f t="shared" si="1"/>
        <v/>
      </c>
      <c r="I75" s="41"/>
      <c r="J75" s="25"/>
      <c r="K75" s="27"/>
      <c r="L75" s="27"/>
      <c r="M75" s="27"/>
      <c r="N75" s="27"/>
      <c r="O75" s="27"/>
    </row>
    <row r="76" spans="1:15" hidden="1" x14ac:dyDescent="0.15">
      <c r="A76" s="37">
        <v>68</v>
      </c>
      <c r="B76" s="23"/>
      <c r="C76" s="21"/>
      <c r="D76" s="42"/>
      <c r="E76" s="24"/>
      <c r="F76" s="25"/>
      <c r="G76" s="26"/>
      <c r="H76" s="30" t="str">
        <f t="shared" si="1"/>
        <v/>
      </c>
      <c r="I76" s="41"/>
      <c r="J76" s="25"/>
      <c r="K76" s="27"/>
      <c r="L76" s="27"/>
      <c r="M76" s="27"/>
      <c r="N76" s="27"/>
      <c r="O76" s="27"/>
    </row>
    <row r="77" spans="1:15" hidden="1" x14ac:dyDescent="0.15">
      <c r="A77" s="37">
        <v>69</v>
      </c>
      <c r="B77" s="23"/>
      <c r="C77" s="21"/>
      <c r="D77" s="42"/>
      <c r="E77" s="24"/>
      <c r="F77" s="25"/>
      <c r="G77" s="26"/>
      <c r="H77" s="30" t="str">
        <f t="shared" si="1"/>
        <v/>
      </c>
      <c r="I77" s="41"/>
      <c r="J77" s="25"/>
      <c r="K77" s="27"/>
      <c r="L77" s="27"/>
      <c r="M77" s="27"/>
      <c r="N77" s="27"/>
      <c r="O77" s="27"/>
    </row>
    <row r="78" spans="1:15" hidden="1" x14ac:dyDescent="0.15">
      <c r="A78" s="37">
        <v>70</v>
      </c>
      <c r="B78" s="23"/>
      <c r="C78" s="21"/>
      <c r="D78" s="42"/>
      <c r="E78" s="24"/>
      <c r="F78" s="25"/>
      <c r="G78" s="26"/>
      <c r="H78" s="30" t="str">
        <f t="shared" si="1"/>
        <v/>
      </c>
      <c r="I78" s="41"/>
      <c r="J78" s="25"/>
      <c r="K78" s="27"/>
      <c r="L78" s="27"/>
      <c r="M78" s="27"/>
      <c r="N78" s="27"/>
      <c r="O78" s="27"/>
    </row>
    <row r="79" spans="1:15" hidden="1" x14ac:dyDescent="0.15">
      <c r="A79" s="37">
        <v>71</v>
      </c>
      <c r="B79" s="23"/>
      <c r="C79" s="21"/>
      <c r="D79" s="42"/>
      <c r="E79" s="24"/>
      <c r="F79" s="25"/>
      <c r="G79" s="26"/>
      <c r="H79" s="30" t="str">
        <f t="shared" si="1"/>
        <v/>
      </c>
      <c r="I79" s="41"/>
      <c r="J79" s="25"/>
      <c r="K79" s="27"/>
      <c r="L79" s="27"/>
      <c r="M79" s="27"/>
      <c r="N79" s="27"/>
      <c r="O79" s="27"/>
    </row>
    <row r="80" spans="1:15" hidden="1" x14ac:dyDescent="0.15">
      <c r="A80" s="37">
        <v>72</v>
      </c>
      <c r="B80" s="23"/>
      <c r="C80" s="21"/>
      <c r="D80" s="42"/>
      <c r="E80" s="24"/>
      <c r="F80" s="25"/>
      <c r="G80" s="26"/>
      <c r="H80" s="30" t="str">
        <f t="shared" si="1"/>
        <v/>
      </c>
      <c r="I80" s="41"/>
      <c r="J80" s="25"/>
      <c r="K80" s="27"/>
      <c r="L80" s="27"/>
      <c r="M80" s="27"/>
      <c r="N80" s="27"/>
      <c r="O80" s="27"/>
    </row>
    <row r="81" spans="1:15" hidden="1" x14ac:dyDescent="0.15">
      <c r="A81" s="37">
        <v>73</v>
      </c>
      <c r="B81" s="23"/>
      <c r="C81" s="21"/>
      <c r="D81" s="42"/>
      <c r="E81" s="24"/>
      <c r="F81" s="25"/>
      <c r="G81" s="26"/>
      <c r="H81" s="30" t="str">
        <f t="shared" si="1"/>
        <v/>
      </c>
      <c r="I81" s="41"/>
      <c r="J81" s="25"/>
      <c r="K81" s="27"/>
      <c r="L81" s="27"/>
      <c r="M81" s="27"/>
      <c r="N81" s="27"/>
      <c r="O81" s="27"/>
    </row>
    <row r="82" spans="1:15" hidden="1" x14ac:dyDescent="0.15">
      <c r="A82" s="37">
        <v>74</v>
      </c>
      <c r="B82" s="23"/>
      <c r="C82" s="21"/>
      <c r="D82" s="42"/>
      <c r="E82" s="24"/>
      <c r="F82" s="25"/>
      <c r="G82" s="26"/>
      <c r="H82" s="30" t="str">
        <f t="shared" si="1"/>
        <v/>
      </c>
      <c r="I82" s="41"/>
      <c r="J82" s="25"/>
      <c r="K82" s="27"/>
      <c r="L82" s="27"/>
      <c r="M82" s="27"/>
      <c r="N82" s="27"/>
      <c r="O82" s="27"/>
    </row>
    <row r="83" spans="1:15" hidden="1" x14ac:dyDescent="0.15">
      <c r="A83" s="37">
        <v>75</v>
      </c>
      <c r="B83" s="23"/>
      <c r="C83" s="21"/>
      <c r="D83" s="42"/>
      <c r="E83" s="24"/>
      <c r="F83" s="25"/>
      <c r="G83" s="26"/>
      <c r="H83" s="30" t="str">
        <f t="shared" si="1"/>
        <v/>
      </c>
      <c r="I83" s="41"/>
      <c r="J83" s="25"/>
      <c r="K83" s="27"/>
      <c r="L83" s="27"/>
      <c r="M83" s="27"/>
      <c r="N83" s="27"/>
      <c r="O83" s="27"/>
    </row>
    <row r="84" spans="1:15" hidden="1" x14ac:dyDescent="0.15">
      <c r="A84" s="37">
        <v>76</v>
      </c>
      <c r="B84" s="23"/>
      <c r="C84" s="21"/>
      <c r="D84" s="42"/>
      <c r="E84" s="24"/>
      <c r="F84" s="25"/>
      <c r="G84" s="26"/>
      <c r="H84" s="30" t="str">
        <f t="shared" si="1"/>
        <v/>
      </c>
      <c r="I84" s="41"/>
      <c r="J84" s="25"/>
      <c r="K84" s="27"/>
      <c r="L84" s="27"/>
      <c r="M84" s="27"/>
      <c r="N84" s="27"/>
      <c r="O84" s="27"/>
    </row>
    <row r="85" spans="1:15" hidden="1" x14ac:dyDescent="0.15">
      <c r="A85" s="37">
        <v>77</v>
      </c>
      <c r="B85" s="23"/>
      <c r="C85" s="21"/>
      <c r="D85" s="42"/>
      <c r="E85" s="24"/>
      <c r="F85" s="25"/>
      <c r="G85" s="26"/>
      <c r="H85" s="30" t="str">
        <f t="shared" si="1"/>
        <v/>
      </c>
      <c r="I85" s="41"/>
      <c r="J85" s="25"/>
      <c r="K85" s="27"/>
      <c r="L85" s="27"/>
      <c r="M85" s="27"/>
      <c r="N85" s="27"/>
      <c r="O85" s="27"/>
    </row>
    <row r="86" spans="1:15" hidden="1" x14ac:dyDescent="0.15">
      <c r="A86" s="37">
        <v>78</v>
      </c>
      <c r="B86" s="23"/>
      <c r="C86" s="21"/>
      <c r="D86" s="42"/>
      <c r="E86" s="24"/>
      <c r="F86" s="25"/>
      <c r="G86" s="26"/>
      <c r="H86" s="30" t="str">
        <f t="shared" si="1"/>
        <v/>
      </c>
      <c r="I86" s="41"/>
      <c r="J86" s="25"/>
      <c r="K86" s="27"/>
      <c r="L86" s="27"/>
      <c r="M86" s="27"/>
      <c r="N86" s="27"/>
      <c r="O86" s="27"/>
    </row>
    <row r="87" spans="1:15" hidden="1" x14ac:dyDescent="0.15">
      <c r="A87" s="37">
        <v>79</v>
      </c>
      <c r="B87" s="23"/>
      <c r="C87" s="21"/>
      <c r="D87" s="42"/>
      <c r="E87" s="24"/>
      <c r="F87" s="25"/>
      <c r="G87" s="26"/>
      <c r="H87" s="30" t="str">
        <f t="shared" si="1"/>
        <v/>
      </c>
      <c r="I87" s="41"/>
      <c r="J87" s="25"/>
      <c r="K87" s="27"/>
      <c r="L87" s="27"/>
      <c r="M87" s="27"/>
      <c r="N87" s="27"/>
      <c r="O87" s="27"/>
    </row>
    <row r="88" spans="1:15" hidden="1" x14ac:dyDescent="0.15">
      <c r="A88" s="37">
        <v>80</v>
      </c>
      <c r="B88" s="23"/>
      <c r="C88" s="21"/>
      <c r="D88" s="42"/>
      <c r="E88" s="24"/>
      <c r="F88" s="25"/>
      <c r="G88" s="26"/>
      <c r="H88" s="30" t="str">
        <f t="shared" si="1"/>
        <v/>
      </c>
      <c r="I88" s="41"/>
      <c r="J88" s="25"/>
      <c r="K88" s="27"/>
      <c r="L88" s="27"/>
      <c r="M88" s="27"/>
      <c r="N88" s="27"/>
      <c r="O88" s="27"/>
    </row>
    <row r="89" spans="1:15" hidden="1" x14ac:dyDescent="0.15">
      <c r="A89" s="37">
        <v>81</v>
      </c>
      <c r="B89" s="23"/>
      <c r="C89" s="21"/>
      <c r="D89" s="42"/>
      <c r="E89" s="24"/>
      <c r="F89" s="25"/>
      <c r="G89" s="26"/>
      <c r="H89" s="30" t="str">
        <f t="shared" si="1"/>
        <v/>
      </c>
      <c r="I89" s="41"/>
      <c r="J89" s="25"/>
      <c r="K89" s="27"/>
      <c r="L89" s="27"/>
      <c r="M89" s="27"/>
      <c r="N89" s="27"/>
      <c r="O89" s="27"/>
    </row>
    <row r="90" spans="1:15" hidden="1" x14ac:dyDescent="0.15">
      <c r="A90" s="37">
        <v>82</v>
      </c>
      <c r="B90" s="23"/>
      <c r="C90" s="21"/>
      <c r="D90" s="42"/>
      <c r="E90" s="24"/>
      <c r="F90" s="25"/>
      <c r="G90" s="26"/>
      <c r="H90" s="30" t="str">
        <f t="shared" si="1"/>
        <v/>
      </c>
      <c r="I90" s="41"/>
      <c r="J90" s="25"/>
      <c r="K90" s="27"/>
      <c r="L90" s="27"/>
      <c r="M90" s="27"/>
      <c r="N90" s="27"/>
      <c r="O90" s="27"/>
    </row>
    <row r="91" spans="1:15" hidden="1" x14ac:dyDescent="0.15">
      <c r="A91" s="37">
        <v>83</v>
      </c>
      <c r="B91" s="23"/>
      <c r="C91" s="21"/>
      <c r="D91" s="42"/>
      <c r="E91" s="24"/>
      <c r="F91" s="25"/>
      <c r="G91" s="26"/>
      <c r="H91" s="30" t="str">
        <f t="shared" si="1"/>
        <v/>
      </c>
      <c r="I91" s="41"/>
      <c r="J91" s="25"/>
      <c r="K91" s="27"/>
      <c r="L91" s="27"/>
      <c r="M91" s="27"/>
      <c r="N91" s="27"/>
      <c r="O91" s="27"/>
    </row>
    <row r="92" spans="1:15" hidden="1" x14ac:dyDescent="0.15">
      <c r="A92" s="37">
        <v>84</v>
      </c>
      <c r="B92" s="23"/>
      <c r="C92" s="21"/>
      <c r="D92" s="42"/>
      <c r="E92" s="24"/>
      <c r="F92" s="25"/>
      <c r="G92" s="26"/>
      <c r="H92" s="30" t="str">
        <f t="shared" si="1"/>
        <v/>
      </c>
      <c r="I92" s="41"/>
      <c r="J92" s="25"/>
      <c r="K92" s="27"/>
      <c r="L92" s="27"/>
      <c r="M92" s="27"/>
      <c r="N92" s="27"/>
      <c r="O92" s="27"/>
    </row>
    <row r="93" spans="1:15" hidden="1" x14ac:dyDescent="0.15">
      <c r="A93" s="37">
        <v>85</v>
      </c>
      <c r="B93" s="23"/>
      <c r="C93" s="21"/>
      <c r="D93" s="42"/>
      <c r="E93" s="24"/>
      <c r="F93" s="25"/>
      <c r="G93" s="26"/>
      <c r="H93" s="30" t="str">
        <f t="shared" si="1"/>
        <v/>
      </c>
      <c r="I93" s="41"/>
      <c r="J93" s="25"/>
      <c r="K93" s="27"/>
      <c r="L93" s="27"/>
      <c r="M93" s="27"/>
      <c r="N93" s="27"/>
      <c r="O93" s="27"/>
    </row>
    <row r="94" spans="1:15" hidden="1" x14ac:dyDescent="0.15">
      <c r="A94" s="37">
        <v>86</v>
      </c>
      <c r="B94" s="23"/>
      <c r="C94" s="21"/>
      <c r="D94" s="42"/>
      <c r="E94" s="24"/>
      <c r="F94" s="25"/>
      <c r="G94" s="26"/>
      <c r="H94" s="30" t="str">
        <f t="shared" si="1"/>
        <v/>
      </c>
      <c r="I94" s="41"/>
      <c r="J94" s="25"/>
      <c r="K94" s="27"/>
      <c r="L94" s="27"/>
      <c r="M94" s="27"/>
      <c r="N94" s="27"/>
      <c r="O94" s="27"/>
    </row>
    <row r="95" spans="1:15" hidden="1" x14ac:dyDescent="0.15">
      <c r="A95" s="37">
        <v>87</v>
      </c>
      <c r="B95" s="23"/>
      <c r="C95" s="21"/>
      <c r="D95" s="42"/>
      <c r="E95" s="24"/>
      <c r="F95" s="25"/>
      <c r="G95" s="26"/>
      <c r="H95" s="30" t="str">
        <f t="shared" si="1"/>
        <v/>
      </c>
      <c r="I95" s="41"/>
      <c r="J95" s="25"/>
      <c r="K95" s="27"/>
      <c r="L95" s="27"/>
      <c r="M95" s="27"/>
      <c r="N95" s="27"/>
      <c r="O95" s="27"/>
    </row>
    <row r="96" spans="1:15" hidden="1" x14ac:dyDescent="0.15">
      <c r="A96" s="37">
        <v>88</v>
      </c>
      <c r="B96" s="23"/>
      <c r="C96" s="21"/>
      <c r="D96" s="42"/>
      <c r="E96" s="24"/>
      <c r="F96" s="25"/>
      <c r="G96" s="26"/>
      <c r="H96" s="30" t="str">
        <f t="shared" si="1"/>
        <v/>
      </c>
      <c r="I96" s="41"/>
      <c r="J96" s="25"/>
      <c r="K96" s="27"/>
      <c r="L96" s="27"/>
      <c r="M96" s="27"/>
      <c r="N96" s="27"/>
      <c r="O96" s="27"/>
    </row>
    <row r="97" spans="1:15" hidden="1" x14ac:dyDescent="0.15">
      <c r="A97" s="37">
        <v>89</v>
      </c>
      <c r="B97" s="23"/>
      <c r="C97" s="21"/>
      <c r="D97" s="42"/>
      <c r="E97" s="24"/>
      <c r="F97" s="25"/>
      <c r="G97" s="26"/>
      <c r="H97" s="30" t="str">
        <f t="shared" si="1"/>
        <v/>
      </c>
      <c r="I97" s="41"/>
      <c r="J97" s="25"/>
      <c r="K97" s="27"/>
      <c r="L97" s="27"/>
      <c r="M97" s="27"/>
      <c r="N97" s="27"/>
      <c r="O97" s="27"/>
    </row>
    <row r="98" spans="1:15" hidden="1" x14ac:dyDescent="0.15">
      <c r="A98" s="37">
        <v>90</v>
      </c>
      <c r="B98" s="23"/>
      <c r="C98" s="21"/>
      <c r="D98" s="42"/>
      <c r="E98" s="24"/>
      <c r="F98" s="25"/>
      <c r="G98" s="26"/>
      <c r="H98" s="30" t="str">
        <f t="shared" si="1"/>
        <v/>
      </c>
      <c r="I98" s="41"/>
      <c r="J98" s="25"/>
      <c r="K98" s="27"/>
      <c r="L98" s="27"/>
      <c r="M98" s="27"/>
      <c r="N98" s="27"/>
      <c r="O98" s="27"/>
    </row>
    <row r="99" spans="1:15" hidden="1" x14ac:dyDescent="0.15">
      <c r="A99" s="37">
        <v>91</v>
      </c>
      <c r="B99" s="23"/>
      <c r="C99" s="21"/>
      <c r="D99" s="42"/>
      <c r="E99" s="24"/>
      <c r="F99" s="25"/>
      <c r="G99" s="26"/>
      <c r="H99" s="30" t="str">
        <f t="shared" si="1"/>
        <v/>
      </c>
      <c r="I99" s="41"/>
      <c r="J99" s="25"/>
      <c r="K99" s="27"/>
      <c r="L99" s="27"/>
      <c r="M99" s="27"/>
      <c r="N99" s="27"/>
      <c r="O99" s="27"/>
    </row>
    <row r="100" spans="1:15" hidden="1" x14ac:dyDescent="0.15">
      <c r="A100" s="37">
        <v>92</v>
      </c>
      <c r="B100" s="23"/>
      <c r="C100" s="21"/>
      <c r="D100" s="42"/>
      <c r="E100" s="24"/>
      <c r="F100" s="25"/>
      <c r="G100" s="26"/>
      <c r="H100" s="30" t="str">
        <f t="shared" si="1"/>
        <v/>
      </c>
      <c r="I100" s="41"/>
      <c r="J100" s="25"/>
      <c r="K100" s="27"/>
      <c r="L100" s="27"/>
      <c r="M100" s="27"/>
      <c r="N100" s="27"/>
      <c r="O100" s="27"/>
    </row>
    <row r="101" spans="1:15" hidden="1" x14ac:dyDescent="0.15">
      <c r="A101" s="37">
        <v>93</v>
      </c>
      <c r="B101" s="23"/>
      <c r="C101" s="21"/>
      <c r="D101" s="42"/>
      <c r="E101" s="24"/>
      <c r="F101" s="25"/>
      <c r="G101" s="26"/>
      <c r="H101" s="30" t="str">
        <f t="shared" si="1"/>
        <v/>
      </c>
      <c r="I101" s="41"/>
      <c r="J101" s="25"/>
      <c r="K101" s="27"/>
      <c r="L101" s="27"/>
      <c r="M101" s="27"/>
      <c r="N101" s="27"/>
      <c r="O101" s="27"/>
    </row>
    <row r="102" spans="1:15" hidden="1" x14ac:dyDescent="0.15">
      <c r="A102" s="37">
        <v>94</v>
      </c>
      <c r="B102" s="23"/>
      <c r="C102" s="21"/>
      <c r="D102" s="42"/>
      <c r="E102" s="24"/>
      <c r="F102" s="25"/>
      <c r="G102" s="26"/>
      <c r="H102" s="30" t="str">
        <f t="shared" si="1"/>
        <v/>
      </c>
      <c r="I102" s="41"/>
      <c r="J102" s="25"/>
      <c r="K102" s="27"/>
      <c r="L102" s="27"/>
      <c r="M102" s="27"/>
      <c r="N102" s="27"/>
      <c r="O102" s="27"/>
    </row>
    <row r="103" spans="1:15" hidden="1" x14ac:dyDescent="0.15">
      <c r="A103" s="37">
        <v>95</v>
      </c>
      <c r="B103" s="23"/>
      <c r="C103" s="21"/>
      <c r="D103" s="42"/>
      <c r="E103" s="24"/>
      <c r="F103" s="25"/>
      <c r="G103" s="26"/>
      <c r="H103" s="30" t="str">
        <f t="shared" si="1"/>
        <v/>
      </c>
      <c r="I103" s="41"/>
      <c r="J103" s="25"/>
      <c r="K103" s="27"/>
      <c r="L103" s="27"/>
      <c r="M103" s="27"/>
      <c r="N103" s="27"/>
      <c r="O103" s="27"/>
    </row>
    <row r="104" spans="1:15" hidden="1" x14ac:dyDescent="0.15">
      <c r="A104" s="37">
        <v>96</v>
      </c>
      <c r="B104" s="23"/>
      <c r="C104" s="21"/>
      <c r="D104" s="42"/>
      <c r="E104" s="24"/>
      <c r="F104" s="25"/>
      <c r="G104" s="26"/>
      <c r="H104" s="30" t="str">
        <f t="shared" si="1"/>
        <v/>
      </c>
      <c r="I104" s="41"/>
      <c r="J104" s="25"/>
      <c r="K104" s="27"/>
      <c r="L104" s="27"/>
      <c r="M104" s="27"/>
      <c r="N104" s="27"/>
      <c r="O104" s="27"/>
    </row>
    <row r="105" spans="1:15" hidden="1" x14ac:dyDescent="0.15">
      <c r="A105" s="37">
        <v>97</v>
      </c>
      <c r="B105" s="23"/>
      <c r="C105" s="21"/>
      <c r="D105" s="42"/>
      <c r="E105" s="24"/>
      <c r="F105" s="25"/>
      <c r="G105" s="26"/>
      <c r="H105" s="30" t="str">
        <f t="shared" si="1"/>
        <v/>
      </c>
      <c r="I105" s="41"/>
      <c r="J105" s="25"/>
      <c r="K105" s="27"/>
      <c r="L105" s="27"/>
      <c r="M105" s="27"/>
      <c r="N105" s="27"/>
      <c r="O105" s="27"/>
    </row>
    <row r="106" spans="1:15" hidden="1" x14ac:dyDescent="0.15">
      <c r="A106" s="37">
        <v>98</v>
      </c>
      <c r="B106" s="23"/>
      <c r="C106" s="21"/>
      <c r="D106" s="42"/>
      <c r="E106" s="24"/>
      <c r="F106" s="25"/>
      <c r="G106" s="26"/>
      <c r="H106" s="30" t="str">
        <f t="shared" si="1"/>
        <v/>
      </c>
      <c r="I106" s="41"/>
      <c r="J106" s="25"/>
      <c r="K106" s="27"/>
      <c r="L106" s="27"/>
      <c r="M106" s="27"/>
      <c r="N106" s="27"/>
      <c r="O106" s="27"/>
    </row>
    <row r="107" spans="1:15" hidden="1" x14ac:dyDescent="0.15">
      <c r="A107" s="37">
        <v>99</v>
      </c>
      <c r="B107" s="23"/>
      <c r="C107" s="21"/>
      <c r="D107" s="42"/>
      <c r="E107" s="24"/>
      <c r="F107" s="25"/>
      <c r="G107" s="26"/>
      <c r="H107" s="30" t="str">
        <f t="shared" si="1"/>
        <v/>
      </c>
      <c r="I107" s="41"/>
      <c r="J107" s="25"/>
      <c r="K107" s="27"/>
      <c r="L107" s="27"/>
      <c r="M107" s="27"/>
      <c r="N107" s="27"/>
      <c r="O107" s="27"/>
    </row>
    <row r="108" spans="1:15" hidden="1" x14ac:dyDescent="0.15">
      <c r="A108" s="37">
        <v>100</v>
      </c>
      <c r="B108" s="23"/>
      <c r="C108" s="21"/>
      <c r="D108" s="42"/>
      <c r="E108" s="24"/>
      <c r="F108" s="25"/>
      <c r="G108" s="26"/>
      <c r="H108" s="30" t="str">
        <f t="shared" si="1"/>
        <v/>
      </c>
      <c r="I108" s="41"/>
      <c r="J108" s="25"/>
      <c r="K108" s="27"/>
      <c r="L108" s="27"/>
      <c r="M108" s="27"/>
      <c r="N108" s="27"/>
      <c r="O108" s="27"/>
    </row>
    <row r="110" spans="1:15" x14ac:dyDescent="0.15">
      <c r="B110" s="38" t="s">
        <v>25</v>
      </c>
      <c r="C110" s="39"/>
      <c r="D110" s="40"/>
      <c r="F110" s="33" t="s">
        <v>18</v>
      </c>
      <c r="H110" s="29">
        <f>SUM(H9:H108)</f>
        <v>0</v>
      </c>
      <c r="I110" s="49"/>
    </row>
    <row r="111" spans="1:15" x14ac:dyDescent="0.15">
      <c r="B111" s="51"/>
      <c r="C111" s="52"/>
      <c r="D111" s="53"/>
      <c r="F111" s="33" t="s">
        <v>131</v>
      </c>
      <c r="H111" s="29">
        <f>ROUNDDOWN((SUMIF(G9:G108,"=0.1",H9:H108)+SUMIFS(J9:J108,B9:B108,"=割引",G9:G108,"=0.1"))*0.1,0)</f>
        <v>0</v>
      </c>
      <c r="I111" s="50">
        <f>(SUMIF(G9:G108,"=0.1",H9:H108)+SUMIFS(J9:J108,B9:B108,"=割引",G9:G108,"=0.1"))*0.1</f>
        <v>0</v>
      </c>
    </row>
    <row r="112" spans="1:15" x14ac:dyDescent="0.15">
      <c r="B112" s="54"/>
      <c r="C112" s="55"/>
      <c r="D112" s="56"/>
      <c r="F112" s="33" t="s">
        <v>23</v>
      </c>
      <c r="H112" s="29">
        <f>ROUNDDOWN((SUMIF(G9:G108,"=0.08",H9:H108)+SUMIFS(J9:J108,B9:B108,"=割引",G9:G108,"=0.08"))*0.08,0)</f>
        <v>0</v>
      </c>
      <c r="I112" s="50">
        <f>(SUMIF(G9:G108,"=0.08",H9:H108)+SUMIFS(J9:J108,B9:B108,"=割引",G9:G108,"=0.08"))*0.08</f>
        <v>0</v>
      </c>
    </row>
    <row r="113" spans="2:9" x14ac:dyDescent="0.15">
      <c r="B113" s="54"/>
      <c r="C113" s="55"/>
      <c r="D113" s="56"/>
      <c r="F113" s="33" t="s">
        <v>133</v>
      </c>
      <c r="H113" s="29">
        <f>ROUNDDOWN((SUMIF(G9:G108,"=0.021",H9:H108)+SUMIFS(J9:J108,B9:B108,"=割引",G9:G108,"=0.021"))*0.021,0)</f>
        <v>0</v>
      </c>
      <c r="I113" s="50">
        <f>(SUMIF(G9:G108,"=0.021",H9:H108)+SUMIFS(J9:J108,B9:B108,"=割引",G9:G108,"=0.021"))*0.021</f>
        <v>0</v>
      </c>
    </row>
    <row r="114" spans="2:9" x14ac:dyDescent="0.15">
      <c r="B114" s="54"/>
      <c r="C114" s="55"/>
      <c r="D114" s="56"/>
      <c r="F114" s="33" t="s">
        <v>24</v>
      </c>
      <c r="H114" s="29">
        <f>ROUNDDOWN((SUMIF(G9:G108,"=0",H9:H108)+SUMIFS(J9:J108,B9:B108,"=割引",G9:G108,"=0"))*0,0)</f>
        <v>0</v>
      </c>
      <c r="I114" s="50">
        <f>(SUMIF(G9:G108,"=0",H9:H108)+SUMIFS(J9:J108,B9:B108,"=割引",G9:G108,"=0"))*0</f>
        <v>0</v>
      </c>
    </row>
    <row r="115" spans="2:9" x14ac:dyDescent="0.15">
      <c r="B115" s="57"/>
      <c r="C115" s="58"/>
      <c r="D115" s="59"/>
      <c r="F115" s="33" t="s">
        <v>130</v>
      </c>
      <c r="H115" s="29">
        <f>SUMIF(B9:B108,"=割引",J9:J108)</f>
        <v>0</v>
      </c>
      <c r="I115" s="49"/>
    </row>
    <row r="116" spans="2:9" x14ac:dyDescent="0.15">
      <c r="F116" s="33" t="s">
        <v>19</v>
      </c>
      <c r="H116" s="29">
        <f>SUM(H110,I111:I114,H115)</f>
        <v>0</v>
      </c>
    </row>
    <row r="118" spans="2:9" x14ac:dyDescent="0.15">
      <c r="H118" s="43"/>
    </row>
    <row r="119" spans="2:9" x14ac:dyDescent="0.15">
      <c r="H119" s="43"/>
    </row>
    <row r="120" spans="2:9" x14ac:dyDescent="0.15">
      <c r="H120" s="43"/>
    </row>
  </sheetData>
  <sheetProtection sheet="1" objects="1" scenarios="1" selectLockedCells="1"/>
  <mergeCells count="5">
    <mergeCell ref="B111:D115"/>
    <mergeCell ref="B4:C4"/>
    <mergeCell ref="B6:C6"/>
    <mergeCell ref="B3:C3"/>
    <mergeCell ref="B5:C5"/>
  </mergeCells>
  <phoneticPr fontId="2"/>
  <dataValidations count="3">
    <dataValidation type="list" showInputMessage="1" showErrorMessage="1" sqref="B4:C4">
      <formula1>差出人</formula1>
    </dataValidation>
    <dataValidation type="list" showInputMessage="1" showErrorMessage="1" sqref="B6:C6">
      <formula1>宛先</formula1>
    </dataValidation>
    <dataValidation type="list" allowBlank="1" showInputMessage="1" showErrorMessage="1" sqref="E9:E108">
      <formula1>単位</formula1>
    </dataValidation>
  </dataValidations>
  <pageMargins left="0.7" right="0.7" top="0.75" bottom="0.75" header="0.3" footer="0.3"/>
  <pageSetup paperSize="9"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マスタ!$K$3:$K$6</xm:f>
          </x14:formula1>
          <xm:sqref>G9:G108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O101"/>
  <sheetViews>
    <sheetView topLeftCell="X1" workbookViewId="0">
      <pane ySplit="1" topLeftCell="A77" activePane="bottomLeft" state="frozen"/>
      <selection pane="bottomLeft" activeCell="AF78" sqref="AF78"/>
    </sheetView>
  </sheetViews>
  <sheetFormatPr defaultColWidth="12.875" defaultRowHeight="15" x14ac:dyDescent="0.2"/>
  <cols>
    <col min="1" max="1" width="26.375" style="28" bestFit="1" customWidth="1"/>
    <col min="2" max="2" width="12.125" style="28" bestFit="1" customWidth="1"/>
    <col min="3" max="3" width="7.5" style="28" bestFit="1" customWidth="1"/>
    <col min="4" max="4" width="12.625" style="28" bestFit="1" customWidth="1"/>
    <col min="5" max="5" width="12.125" style="28" bestFit="1" customWidth="1"/>
    <col min="6" max="6" width="10.375" style="28" bestFit="1" customWidth="1"/>
    <col min="7" max="7" width="9.5" style="28" bestFit="1" customWidth="1"/>
    <col min="8" max="8" width="25.5" style="28" customWidth="1"/>
    <col min="9" max="10" width="15.5" style="28" customWidth="1"/>
    <col min="11" max="11" width="24" style="28" bestFit="1" customWidth="1"/>
    <col min="12" max="12" width="23" style="28" customWidth="1"/>
    <col min="13" max="13" width="9.5" style="28" customWidth="1"/>
    <col min="14" max="14" width="11.5" style="28" bestFit="1" customWidth="1"/>
    <col min="15" max="16" width="13.5" style="28" bestFit="1" customWidth="1"/>
    <col min="17" max="17" width="18.5" style="28" bestFit="1" customWidth="1"/>
    <col min="18" max="18" width="21" style="28" bestFit="1" customWidth="1"/>
    <col min="19" max="19" width="7.5" style="28" bestFit="1" customWidth="1"/>
    <col min="20" max="20" width="11.875" style="28" bestFit="1" customWidth="1"/>
    <col min="21" max="21" width="19.625" style="28" bestFit="1" customWidth="1"/>
    <col min="22" max="22" width="11.875" style="28" customWidth="1"/>
    <col min="23" max="23" width="9.5" style="28" customWidth="1"/>
    <col min="24" max="24" width="5.5" style="28" customWidth="1"/>
    <col min="25" max="25" width="9.625" style="28" customWidth="1"/>
    <col min="26" max="26" width="14.875" style="28" bestFit="1" customWidth="1"/>
    <col min="27" max="27" width="45" style="28" customWidth="1"/>
    <col min="28" max="28" width="9" style="28" bestFit="1" customWidth="1"/>
    <col min="29" max="29" width="11.625" style="28" bestFit="1" customWidth="1"/>
    <col min="30" max="30" width="6.375" style="28" bestFit="1" customWidth="1"/>
    <col min="31" max="31" width="5.5" style="28" bestFit="1" customWidth="1"/>
    <col min="32" max="32" width="12" style="28" bestFit="1" customWidth="1"/>
    <col min="33" max="33" width="9.5" style="28" bestFit="1" customWidth="1"/>
    <col min="34" max="34" width="14" style="28" bestFit="1" customWidth="1"/>
    <col min="35" max="35" width="8.625" style="28" bestFit="1" customWidth="1"/>
    <col min="36" max="36" width="11.125" style="28" bestFit="1" customWidth="1"/>
    <col min="37" max="37" width="20" style="28" bestFit="1" customWidth="1"/>
    <col min="38" max="38" width="15" style="28" bestFit="1" customWidth="1"/>
    <col min="39" max="39" width="24.625" style="28" customWidth="1"/>
    <col min="40" max="41" width="35.5" style="28" customWidth="1"/>
    <col min="42" max="16384" width="12.875" style="2"/>
  </cols>
  <sheetData>
    <row r="1" spans="1:41" x14ac:dyDescent="0.2">
      <c r="A1" s="9" t="s">
        <v>51</v>
      </c>
      <c r="B1" s="9" t="s">
        <v>52</v>
      </c>
      <c r="C1" s="9" t="s">
        <v>55</v>
      </c>
      <c r="D1" s="9" t="s">
        <v>53</v>
      </c>
      <c r="E1" s="9" t="s">
        <v>56</v>
      </c>
      <c r="F1" s="9" t="s">
        <v>95</v>
      </c>
      <c r="G1" s="9" t="s">
        <v>96</v>
      </c>
      <c r="H1" s="9" t="s">
        <v>57</v>
      </c>
      <c r="I1" s="9" t="s">
        <v>58</v>
      </c>
      <c r="J1" s="9" t="s">
        <v>59</v>
      </c>
      <c r="K1" s="9" t="s">
        <v>60</v>
      </c>
      <c r="L1" s="9" t="s">
        <v>61</v>
      </c>
      <c r="M1" s="9" t="s">
        <v>62</v>
      </c>
      <c r="N1" s="9" t="s">
        <v>63</v>
      </c>
      <c r="O1" s="9" t="s">
        <v>64</v>
      </c>
      <c r="P1" s="9" t="s">
        <v>65</v>
      </c>
      <c r="Q1" s="9" t="s">
        <v>66</v>
      </c>
      <c r="R1" s="9" t="s">
        <v>67</v>
      </c>
      <c r="S1" s="9" t="s">
        <v>68</v>
      </c>
      <c r="T1" s="9" t="s">
        <v>127</v>
      </c>
      <c r="U1" s="9" t="s">
        <v>54</v>
      </c>
      <c r="V1" s="9" t="s">
        <v>69</v>
      </c>
      <c r="W1" s="9" t="s">
        <v>70</v>
      </c>
      <c r="X1" s="9" t="s">
        <v>71</v>
      </c>
      <c r="Y1" s="9" t="s">
        <v>72</v>
      </c>
      <c r="Z1" s="9" t="s">
        <v>73</v>
      </c>
      <c r="AA1" s="9" t="s">
        <v>97</v>
      </c>
      <c r="AB1" s="1" t="s">
        <v>98</v>
      </c>
      <c r="AC1" s="1" t="s">
        <v>99</v>
      </c>
      <c r="AD1" s="1" t="s">
        <v>100</v>
      </c>
      <c r="AE1" s="1" t="s">
        <v>43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46" t="s">
        <v>144</v>
      </c>
    </row>
    <row r="2" spans="1:41" x14ac:dyDescent="0.2">
      <c r="A2" s="47" t="s">
        <v>348</v>
      </c>
      <c r="B2" s="64">
        <v>42226</v>
      </c>
      <c r="C2" s="47" t="s">
        <v>349</v>
      </c>
      <c r="D2" s="64"/>
      <c r="E2" s="64">
        <v>42219</v>
      </c>
      <c r="F2" s="65"/>
      <c r="G2" s="65"/>
      <c r="H2" s="47" t="s">
        <v>350</v>
      </c>
      <c r="I2" s="47" t="s">
        <v>351</v>
      </c>
      <c r="J2" s="47" t="s">
        <v>352</v>
      </c>
      <c r="K2" s="47" t="s">
        <v>353</v>
      </c>
      <c r="L2" s="47" t="s">
        <v>354</v>
      </c>
      <c r="M2" s="47" t="s">
        <v>355</v>
      </c>
      <c r="N2" s="47" t="s">
        <v>356</v>
      </c>
      <c r="O2" s="47" t="s">
        <v>357</v>
      </c>
      <c r="P2" s="47" t="s">
        <v>352</v>
      </c>
      <c r="Q2" s="47" t="s">
        <v>358</v>
      </c>
      <c r="R2" s="47"/>
      <c r="S2" s="47" t="s">
        <v>355</v>
      </c>
      <c r="T2" s="47" t="s">
        <v>359</v>
      </c>
      <c r="U2" s="47" t="s">
        <v>360</v>
      </c>
      <c r="V2" s="47" t="s">
        <v>361</v>
      </c>
      <c r="W2" s="47" t="s">
        <v>362</v>
      </c>
      <c r="X2" s="47" t="s">
        <v>363</v>
      </c>
      <c r="Y2" s="47">
        <v>1234567</v>
      </c>
      <c r="Z2" s="47" t="s">
        <v>364</v>
      </c>
      <c r="AA2" s="47"/>
      <c r="AB2" s="47" t="s">
        <v>365</v>
      </c>
      <c r="AC2" s="47" t="s">
        <v>366</v>
      </c>
      <c r="AD2" s="66">
        <v>1</v>
      </c>
      <c r="AE2" s="67" t="s">
        <v>367</v>
      </c>
      <c r="AF2" s="68">
        <v>100000</v>
      </c>
      <c r="AG2" s="69">
        <v>0.08</v>
      </c>
      <c r="AH2" s="68">
        <v>100000</v>
      </c>
      <c r="AI2" s="69"/>
      <c r="AJ2" s="68"/>
      <c r="AK2" s="47"/>
      <c r="AL2" s="47"/>
      <c r="AM2" s="47"/>
      <c r="AN2" s="47"/>
      <c r="AO2" s="47" t="s">
        <v>368</v>
      </c>
    </row>
    <row r="3" spans="1:41" x14ac:dyDescent="0.2">
      <c r="A3" s="47" t="s">
        <v>348</v>
      </c>
      <c r="B3" s="64">
        <v>42226</v>
      </c>
      <c r="C3" s="47" t="s">
        <v>349</v>
      </c>
      <c r="D3" s="64"/>
      <c r="E3" s="64">
        <v>42219</v>
      </c>
      <c r="F3" s="65"/>
      <c r="G3" s="65"/>
      <c r="H3" s="47" t="s">
        <v>350</v>
      </c>
      <c r="I3" s="47" t="s">
        <v>351</v>
      </c>
      <c r="J3" s="47" t="s">
        <v>352</v>
      </c>
      <c r="K3" s="47" t="s">
        <v>353</v>
      </c>
      <c r="L3" s="47" t="s">
        <v>354</v>
      </c>
      <c r="M3" s="47" t="s">
        <v>355</v>
      </c>
      <c r="N3" s="48" t="s">
        <v>356</v>
      </c>
      <c r="O3" s="47" t="s">
        <v>357</v>
      </c>
      <c r="P3" s="47" t="s">
        <v>352</v>
      </c>
      <c r="Q3" s="47" t="s">
        <v>358</v>
      </c>
      <c r="R3" s="47"/>
      <c r="S3" s="47" t="s">
        <v>355</v>
      </c>
      <c r="T3" s="47" t="s">
        <v>359</v>
      </c>
      <c r="U3" s="47" t="s">
        <v>360</v>
      </c>
      <c r="V3" s="47" t="s">
        <v>361</v>
      </c>
      <c r="W3" s="47" t="s">
        <v>362</v>
      </c>
      <c r="X3" s="47" t="s">
        <v>363</v>
      </c>
      <c r="Y3" s="47">
        <v>1234567</v>
      </c>
      <c r="Z3" s="47" t="s">
        <v>364</v>
      </c>
      <c r="AA3" s="47"/>
      <c r="AB3" s="70" t="s">
        <v>369</v>
      </c>
      <c r="AC3" s="71" t="s">
        <v>370</v>
      </c>
      <c r="AD3" s="66">
        <v>1</v>
      </c>
      <c r="AE3" s="72" t="s">
        <v>367</v>
      </c>
      <c r="AF3" s="68">
        <v>100000</v>
      </c>
      <c r="AG3" s="73">
        <v>0.08</v>
      </c>
      <c r="AH3" s="68">
        <v>100000</v>
      </c>
      <c r="AI3" s="69"/>
      <c r="AJ3" s="74"/>
      <c r="AK3" s="19"/>
      <c r="AL3" s="75"/>
      <c r="AM3" s="75"/>
      <c r="AN3" s="75"/>
      <c r="AO3" s="75" t="s">
        <v>371</v>
      </c>
    </row>
    <row r="4" spans="1:41" x14ac:dyDescent="0.2">
      <c r="A4" s="47"/>
      <c r="B4" s="64"/>
      <c r="C4" s="47"/>
      <c r="D4" s="64"/>
      <c r="E4" s="64"/>
      <c r="F4" s="65"/>
      <c r="G4" s="65"/>
      <c r="H4" s="47"/>
      <c r="I4" s="47"/>
      <c r="J4" s="47"/>
      <c r="K4" s="47"/>
      <c r="L4" s="47"/>
      <c r="M4" s="47"/>
      <c r="N4" s="48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70"/>
      <c r="AC4" s="71"/>
      <c r="AD4" s="76"/>
      <c r="AE4" s="72"/>
      <c r="AF4" s="77"/>
      <c r="AG4" s="73"/>
      <c r="AH4" s="68"/>
      <c r="AI4" s="69"/>
      <c r="AJ4" s="74"/>
      <c r="AK4" s="19"/>
      <c r="AL4" s="75"/>
      <c r="AM4" s="75"/>
      <c r="AN4" s="75"/>
      <c r="AO4" s="75"/>
    </row>
    <row r="5" spans="1:41" x14ac:dyDescent="0.2">
      <c r="A5" s="47"/>
      <c r="B5" s="64"/>
      <c r="C5" s="47"/>
      <c r="D5" s="64"/>
      <c r="E5" s="64"/>
      <c r="F5" s="65"/>
      <c r="G5" s="65"/>
      <c r="H5" s="47"/>
      <c r="I5" s="47"/>
      <c r="J5" s="47"/>
      <c r="K5" s="47"/>
      <c r="L5" s="47"/>
      <c r="M5" s="47"/>
      <c r="N5" s="48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70"/>
      <c r="AC5" s="71"/>
      <c r="AD5" s="76"/>
      <c r="AE5" s="72"/>
      <c r="AF5" s="77"/>
      <c r="AG5" s="73"/>
      <c r="AH5" s="68"/>
      <c r="AI5" s="69"/>
      <c r="AJ5" s="74"/>
      <c r="AK5" s="19"/>
      <c r="AL5" s="75"/>
      <c r="AM5" s="75"/>
      <c r="AN5" s="75"/>
      <c r="AO5" s="75"/>
    </row>
    <row r="6" spans="1:41" x14ac:dyDescent="0.2">
      <c r="A6" s="47"/>
      <c r="B6" s="64"/>
      <c r="C6" s="47"/>
      <c r="D6" s="64"/>
      <c r="E6" s="64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19"/>
      <c r="AC6" s="19"/>
      <c r="AD6" s="76"/>
      <c r="AE6" s="78"/>
      <c r="AF6" s="77"/>
      <c r="AG6" s="79"/>
      <c r="AH6" s="68"/>
      <c r="AI6" s="69"/>
      <c r="AJ6" s="80"/>
      <c r="AK6" s="19"/>
      <c r="AL6" s="19"/>
      <c r="AM6" s="19"/>
      <c r="AN6" s="19"/>
      <c r="AO6" s="19"/>
    </row>
    <row r="7" spans="1:41" x14ac:dyDescent="0.2">
      <c r="A7" s="47"/>
      <c r="B7" s="64"/>
      <c r="C7" s="47"/>
      <c r="D7" s="64"/>
      <c r="E7" s="64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19"/>
      <c r="AC7" s="19"/>
      <c r="AD7" s="76"/>
      <c r="AE7" s="78"/>
      <c r="AF7" s="77"/>
      <c r="AG7" s="79"/>
      <c r="AH7" s="68"/>
      <c r="AI7" s="69"/>
      <c r="AJ7" s="80"/>
      <c r="AK7" s="19"/>
      <c r="AL7" s="19"/>
      <c r="AM7" s="19"/>
      <c r="AN7" s="19"/>
      <c r="AO7" s="19"/>
    </row>
    <row r="8" spans="1:41" x14ac:dyDescent="0.2">
      <c r="A8" s="47"/>
      <c r="B8" s="64"/>
      <c r="C8" s="47"/>
      <c r="D8" s="64"/>
      <c r="E8" s="64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19"/>
      <c r="AC8" s="19"/>
      <c r="AD8" s="76"/>
      <c r="AE8" s="78"/>
      <c r="AF8" s="77"/>
      <c r="AG8" s="79"/>
      <c r="AH8" s="68"/>
      <c r="AI8" s="69"/>
      <c r="AJ8" s="80"/>
      <c r="AK8" s="19"/>
      <c r="AL8" s="19"/>
      <c r="AM8" s="19"/>
      <c r="AN8" s="19"/>
      <c r="AO8" s="19"/>
    </row>
    <row r="9" spans="1:41" x14ac:dyDescent="0.2">
      <c r="A9" s="47"/>
      <c r="B9" s="64"/>
      <c r="C9" s="47"/>
      <c r="D9" s="64"/>
      <c r="E9" s="64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19"/>
      <c r="AC9" s="19"/>
      <c r="AD9" s="76"/>
      <c r="AE9" s="78"/>
      <c r="AF9" s="77"/>
      <c r="AG9" s="79"/>
      <c r="AH9" s="68"/>
      <c r="AI9" s="69"/>
      <c r="AJ9" s="80"/>
      <c r="AK9" s="19"/>
      <c r="AL9" s="19"/>
      <c r="AM9" s="19"/>
      <c r="AN9" s="19"/>
      <c r="AO9" s="19"/>
    </row>
    <row r="10" spans="1:41" x14ac:dyDescent="0.2">
      <c r="A10" s="47"/>
      <c r="B10" s="64"/>
      <c r="C10" s="47"/>
      <c r="D10" s="64"/>
      <c r="E10" s="64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70"/>
      <c r="AC10" s="71"/>
      <c r="AD10" s="81"/>
      <c r="AE10" s="82"/>
      <c r="AF10" s="77"/>
      <c r="AG10" s="83"/>
      <c r="AH10" s="68"/>
      <c r="AI10" s="84"/>
      <c r="AJ10" s="66"/>
      <c r="AK10" s="19"/>
      <c r="AL10" s="19"/>
      <c r="AM10" s="19"/>
      <c r="AN10" s="19"/>
      <c r="AO10" s="19"/>
    </row>
    <row r="11" spans="1:41" x14ac:dyDescent="0.2">
      <c r="A11" s="47"/>
      <c r="B11" s="64"/>
      <c r="C11" s="47"/>
      <c r="D11" s="64"/>
      <c r="E11" s="64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19"/>
      <c r="AC11" s="19"/>
      <c r="AD11" s="76"/>
      <c r="AE11" s="78"/>
      <c r="AF11" s="77"/>
      <c r="AG11" s="79"/>
      <c r="AH11" s="68"/>
      <c r="AI11" s="69"/>
      <c r="AJ11" s="80"/>
      <c r="AK11" s="19"/>
      <c r="AL11" s="19"/>
      <c r="AM11" s="19"/>
      <c r="AN11" s="19"/>
      <c r="AO11" s="19"/>
    </row>
    <row r="12" spans="1:41" x14ac:dyDescent="0.2">
      <c r="A12" s="47"/>
      <c r="B12" s="64"/>
      <c r="C12" s="47"/>
      <c r="D12" s="64"/>
      <c r="E12" s="64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19"/>
      <c r="AC12" s="19"/>
      <c r="AD12" s="76"/>
      <c r="AE12" s="78"/>
      <c r="AF12" s="77"/>
      <c r="AG12" s="79"/>
      <c r="AH12" s="68"/>
      <c r="AI12" s="69"/>
      <c r="AJ12" s="80"/>
      <c r="AK12" s="19"/>
      <c r="AL12" s="19"/>
      <c r="AM12" s="19"/>
      <c r="AN12" s="19"/>
      <c r="AO12" s="19"/>
    </row>
    <row r="13" spans="1:41" x14ac:dyDescent="0.2">
      <c r="A13" s="47"/>
      <c r="B13" s="64"/>
      <c r="C13" s="47"/>
      <c r="D13" s="64"/>
      <c r="E13" s="64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19"/>
      <c r="AC13" s="19"/>
      <c r="AD13" s="76"/>
      <c r="AE13" s="78"/>
      <c r="AF13" s="77"/>
      <c r="AG13" s="79"/>
      <c r="AH13" s="68"/>
      <c r="AI13" s="69"/>
      <c r="AJ13" s="80"/>
      <c r="AK13" s="19"/>
      <c r="AL13" s="19"/>
      <c r="AM13" s="19"/>
      <c r="AN13" s="19"/>
      <c r="AO13" s="19"/>
    </row>
    <row r="14" spans="1:41" x14ac:dyDescent="0.2">
      <c r="A14" s="47"/>
      <c r="B14" s="64"/>
      <c r="C14" s="47"/>
      <c r="D14" s="64"/>
      <c r="E14" s="64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19"/>
      <c r="AC14" s="19"/>
      <c r="AD14" s="76"/>
      <c r="AE14" s="78"/>
      <c r="AF14" s="77"/>
      <c r="AG14" s="79"/>
      <c r="AH14" s="68"/>
      <c r="AI14" s="69"/>
      <c r="AJ14" s="80"/>
      <c r="AK14" s="19"/>
      <c r="AL14" s="19"/>
      <c r="AM14" s="19"/>
      <c r="AN14" s="19"/>
      <c r="AO14" s="19"/>
    </row>
    <row r="15" spans="1:41" x14ac:dyDescent="0.2">
      <c r="A15" s="47"/>
      <c r="B15" s="64"/>
      <c r="C15" s="47"/>
      <c r="D15" s="64"/>
      <c r="E15" s="64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19"/>
      <c r="AC15" s="19"/>
      <c r="AD15" s="76"/>
      <c r="AE15" s="78"/>
      <c r="AF15" s="77"/>
      <c r="AG15" s="79"/>
      <c r="AH15" s="68"/>
      <c r="AI15" s="69"/>
      <c r="AJ15" s="80"/>
      <c r="AK15" s="19"/>
      <c r="AL15" s="19"/>
      <c r="AM15" s="19"/>
      <c r="AN15" s="19"/>
      <c r="AO15" s="19"/>
    </row>
    <row r="16" spans="1:41" x14ac:dyDescent="0.2">
      <c r="A16" s="47"/>
      <c r="B16" s="64"/>
      <c r="C16" s="47"/>
      <c r="D16" s="64"/>
      <c r="E16" s="64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19"/>
      <c r="AC16" s="19"/>
      <c r="AD16" s="76"/>
      <c r="AE16" s="78"/>
      <c r="AF16" s="77"/>
      <c r="AG16" s="79"/>
      <c r="AH16" s="68"/>
      <c r="AI16" s="69"/>
      <c r="AJ16" s="80"/>
      <c r="AK16" s="19"/>
      <c r="AL16" s="19"/>
      <c r="AM16" s="19"/>
      <c r="AN16" s="19"/>
      <c r="AO16" s="19"/>
    </row>
    <row r="17" spans="1:41" x14ac:dyDescent="0.2">
      <c r="A17" s="47"/>
      <c r="B17" s="64"/>
      <c r="C17" s="47"/>
      <c r="D17" s="64"/>
      <c r="E17" s="64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19"/>
      <c r="AC17" s="19"/>
      <c r="AD17" s="76"/>
      <c r="AE17" s="78"/>
      <c r="AF17" s="77"/>
      <c r="AG17" s="79"/>
      <c r="AH17" s="68"/>
      <c r="AI17" s="69"/>
      <c r="AJ17" s="80"/>
      <c r="AK17" s="19"/>
      <c r="AL17" s="19"/>
      <c r="AM17" s="19"/>
      <c r="AN17" s="19"/>
      <c r="AO17" s="19"/>
    </row>
    <row r="18" spans="1:41" x14ac:dyDescent="0.2">
      <c r="A18" s="47"/>
      <c r="B18" s="64"/>
      <c r="C18" s="47"/>
      <c r="D18" s="64"/>
      <c r="E18" s="64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19"/>
      <c r="AC18" s="19"/>
      <c r="AD18" s="76"/>
      <c r="AE18" s="78"/>
      <c r="AF18" s="77"/>
      <c r="AG18" s="79"/>
      <c r="AH18" s="68"/>
      <c r="AI18" s="69"/>
      <c r="AJ18" s="80"/>
      <c r="AK18" s="19"/>
      <c r="AL18" s="19"/>
      <c r="AM18" s="19"/>
      <c r="AN18" s="19"/>
      <c r="AO18" s="19"/>
    </row>
    <row r="19" spans="1:41" x14ac:dyDescent="0.2">
      <c r="A19" s="47"/>
      <c r="B19" s="64"/>
      <c r="C19" s="47"/>
      <c r="D19" s="64"/>
      <c r="E19" s="64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19"/>
      <c r="AC19" s="19"/>
      <c r="AD19" s="76"/>
      <c r="AE19" s="78"/>
      <c r="AF19" s="77"/>
      <c r="AG19" s="79"/>
      <c r="AH19" s="68"/>
      <c r="AI19" s="69"/>
      <c r="AJ19" s="80"/>
      <c r="AK19" s="19"/>
      <c r="AL19" s="19"/>
      <c r="AM19" s="19"/>
      <c r="AN19" s="19"/>
      <c r="AO19" s="19"/>
    </row>
    <row r="20" spans="1:41" x14ac:dyDescent="0.2">
      <c r="A20" s="47"/>
      <c r="B20" s="64"/>
      <c r="C20" s="47"/>
      <c r="D20" s="64"/>
      <c r="E20" s="64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19"/>
      <c r="AC20" s="19"/>
      <c r="AD20" s="76"/>
      <c r="AE20" s="78"/>
      <c r="AF20" s="77"/>
      <c r="AG20" s="79"/>
      <c r="AH20" s="68"/>
      <c r="AI20" s="69"/>
      <c r="AJ20" s="80"/>
      <c r="AK20" s="19"/>
      <c r="AL20" s="19"/>
      <c r="AM20" s="19"/>
      <c r="AN20" s="19"/>
      <c r="AO20" s="19"/>
    </row>
    <row r="21" spans="1:41" x14ac:dyDescent="0.2">
      <c r="A21" s="47"/>
      <c r="B21" s="64"/>
      <c r="C21" s="47"/>
      <c r="D21" s="64"/>
      <c r="E21" s="64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19"/>
      <c r="AC21" s="19"/>
      <c r="AD21" s="76"/>
      <c r="AE21" s="78"/>
      <c r="AF21" s="77"/>
      <c r="AG21" s="79"/>
      <c r="AH21" s="68"/>
      <c r="AI21" s="69"/>
      <c r="AJ21" s="80"/>
      <c r="AK21" s="19"/>
      <c r="AL21" s="19"/>
      <c r="AM21" s="19"/>
      <c r="AN21" s="19"/>
      <c r="AO21" s="19"/>
    </row>
    <row r="22" spans="1:41" x14ac:dyDescent="0.2">
      <c r="A22" s="47"/>
      <c r="B22" s="64"/>
      <c r="C22" s="47"/>
      <c r="D22" s="64"/>
      <c r="E22" s="64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19"/>
      <c r="AC22" s="19"/>
      <c r="AD22" s="76"/>
      <c r="AE22" s="78"/>
      <c r="AF22" s="77"/>
      <c r="AG22" s="79"/>
      <c r="AH22" s="68"/>
      <c r="AI22" s="69"/>
      <c r="AJ22" s="80"/>
      <c r="AK22" s="19"/>
      <c r="AL22" s="19"/>
      <c r="AM22" s="19"/>
      <c r="AN22" s="19"/>
      <c r="AO22" s="19"/>
    </row>
    <row r="23" spans="1:41" x14ac:dyDescent="0.2">
      <c r="A23" s="47"/>
      <c r="B23" s="64"/>
      <c r="C23" s="47"/>
      <c r="D23" s="64"/>
      <c r="E23" s="64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19"/>
      <c r="AC23" s="19"/>
      <c r="AD23" s="76"/>
      <c r="AE23" s="78"/>
      <c r="AF23" s="77"/>
      <c r="AG23" s="79"/>
      <c r="AH23" s="68"/>
      <c r="AI23" s="69"/>
      <c r="AJ23" s="80"/>
      <c r="AK23" s="19"/>
      <c r="AL23" s="19"/>
      <c r="AM23" s="19"/>
      <c r="AN23" s="19"/>
      <c r="AO23" s="19"/>
    </row>
    <row r="24" spans="1:41" x14ac:dyDescent="0.2">
      <c r="A24" s="47"/>
      <c r="B24" s="64"/>
      <c r="C24" s="47"/>
      <c r="D24" s="64"/>
      <c r="E24" s="64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19"/>
      <c r="AC24" s="19"/>
      <c r="AD24" s="76"/>
      <c r="AE24" s="78"/>
      <c r="AF24" s="77"/>
      <c r="AG24" s="79"/>
      <c r="AH24" s="68"/>
      <c r="AI24" s="69"/>
      <c r="AJ24" s="80"/>
      <c r="AK24" s="19"/>
      <c r="AL24" s="19"/>
      <c r="AM24" s="19"/>
      <c r="AN24" s="19"/>
      <c r="AO24" s="19"/>
    </row>
    <row r="25" spans="1:41" x14ac:dyDescent="0.2">
      <c r="A25" s="47"/>
      <c r="B25" s="64"/>
      <c r="C25" s="47"/>
      <c r="D25" s="64"/>
      <c r="E25" s="64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19"/>
      <c r="AC25" s="19"/>
      <c r="AD25" s="76"/>
      <c r="AE25" s="78"/>
      <c r="AF25" s="77"/>
      <c r="AG25" s="79"/>
      <c r="AH25" s="68"/>
      <c r="AI25" s="69"/>
      <c r="AJ25" s="80"/>
      <c r="AK25" s="19"/>
      <c r="AL25" s="19"/>
      <c r="AM25" s="19"/>
      <c r="AN25" s="19"/>
      <c r="AO25" s="19"/>
    </row>
    <row r="26" spans="1:41" x14ac:dyDescent="0.2">
      <c r="A26" s="47"/>
      <c r="B26" s="64"/>
      <c r="C26" s="47"/>
      <c r="D26" s="64"/>
      <c r="E26" s="64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19"/>
      <c r="AC26" s="19"/>
      <c r="AD26" s="76"/>
      <c r="AE26" s="78"/>
      <c r="AF26" s="77"/>
      <c r="AG26" s="79"/>
      <c r="AH26" s="68"/>
      <c r="AI26" s="69"/>
      <c r="AJ26" s="80"/>
      <c r="AK26" s="19"/>
      <c r="AL26" s="19"/>
      <c r="AM26" s="19"/>
      <c r="AN26" s="19"/>
      <c r="AO26" s="19"/>
    </row>
    <row r="27" spans="1:41" x14ac:dyDescent="0.2">
      <c r="A27" s="47"/>
      <c r="B27" s="64"/>
      <c r="C27" s="47"/>
      <c r="D27" s="64"/>
      <c r="E27" s="64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19"/>
      <c r="AC27" s="19"/>
      <c r="AD27" s="76"/>
      <c r="AE27" s="78"/>
      <c r="AF27" s="77"/>
      <c r="AG27" s="79"/>
      <c r="AH27" s="68"/>
      <c r="AI27" s="69"/>
      <c r="AJ27" s="80"/>
      <c r="AK27" s="19"/>
      <c r="AL27" s="19"/>
      <c r="AM27" s="19"/>
      <c r="AN27" s="19"/>
      <c r="AO27" s="19"/>
    </row>
    <row r="28" spans="1:41" x14ac:dyDescent="0.2">
      <c r="A28" s="47"/>
      <c r="B28" s="64"/>
      <c r="C28" s="47"/>
      <c r="D28" s="64"/>
      <c r="E28" s="64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19"/>
      <c r="AC28" s="19"/>
      <c r="AD28" s="76"/>
      <c r="AE28" s="78"/>
      <c r="AF28" s="77"/>
      <c r="AG28" s="79"/>
      <c r="AH28" s="68"/>
      <c r="AI28" s="69"/>
      <c r="AJ28" s="80"/>
      <c r="AK28" s="19"/>
      <c r="AL28" s="19"/>
      <c r="AM28" s="19"/>
      <c r="AN28" s="19"/>
      <c r="AO28" s="19"/>
    </row>
    <row r="29" spans="1:41" x14ac:dyDescent="0.2">
      <c r="A29" s="47"/>
      <c r="B29" s="64"/>
      <c r="C29" s="47"/>
      <c r="D29" s="64"/>
      <c r="E29" s="64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19"/>
      <c r="AC29" s="19"/>
      <c r="AD29" s="76"/>
      <c r="AE29" s="78"/>
      <c r="AF29" s="77"/>
      <c r="AG29" s="79"/>
      <c r="AH29" s="68"/>
      <c r="AI29" s="69"/>
      <c r="AJ29" s="80"/>
      <c r="AK29" s="19"/>
      <c r="AL29" s="19"/>
      <c r="AM29" s="19"/>
      <c r="AN29" s="19"/>
      <c r="AO29" s="19"/>
    </row>
    <row r="30" spans="1:41" x14ac:dyDescent="0.2">
      <c r="A30" s="47"/>
      <c r="B30" s="64"/>
      <c r="C30" s="47"/>
      <c r="D30" s="64"/>
      <c r="E30" s="64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19"/>
      <c r="AC30" s="19"/>
      <c r="AD30" s="76"/>
      <c r="AE30" s="78"/>
      <c r="AF30" s="77"/>
      <c r="AG30" s="79"/>
      <c r="AH30" s="68"/>
      <c r="AI30" s="69"/>
      <c r="AJ30" s="80"/>
      <c r="AK30" s="19"/>
      <c r="AL30" s="19"/>
      <c r="AM30" s="19"/>
      <c r="AN30" s="19"/>
      <c r="AO30" s="19"/>
    </row>
    <row r="31" spans="1:41" x14ac:dyDescent="0.2">
      <c r="A31" s="47"/>
      <c r="B31" s="64"/>
      <c r="C31" s="47"/>
      <c r="D31" s="64"/>
      <c r="E31" s="64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19"/>
      <c r="AC31" s="19"/>
      <c r="AD31" s="76"/>
      <c r="AE31" s="78"/>
      <c r="AF31" s="77"/>
      <c r="AG31" s="79"/>
      <c r="AH31" s="68"/>
      <c r="AI31" s="69"/>
      <c r="AJ31" s="80"/>
      <c r="AK31" s="19"/>
      <c r="AL31" s="19"/>
      <c r="AM31" s="19"/>
      <c r="AN31" s="19"/>
      <c r="AO31" s="19"/>
    </row>
    <row r="32" spans="1:41" x14ac:dyDescent="0.2">
      <c r="A32" s="47"/>
      <c r="B32" s="64"/>
      <c r="C32" s="47"/>
      <c r="D32" s="64"/>
      <c r="E32" s="64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19"/>
      <c r="AC32" s="19"/>
      <c r="AD32" s="76"/>
      <c r="AE32" s="78"/>
      <c r="AF32" s="77"/>
      <c r="AG32" s="79"/>
      <c r="AH32" s="68"/>
      <c r="AI32" s="69"/>
      <c r="AJ32" s="80"/>
      <c r="AK32" s="19"/>
      <c r="AL32" s="19"/>
      <c r="AM32" s="19"/>
      <c r="AN32" s="19"/>
      <c r="AO32" s="19"/>
    </row>
    <row r="33" spans="1:41" x14ac:dyDescent="0.2">
      <c r="A33" s="47"/>
      <c r="B33" s="64"/>
      <c r="C33" s="47"/>
      <c r="D33" s="64"/>
      <c r="E33" s="64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19"/>
      <c r="AC33" s="19"/>
      <c r="AD33" s="76"/>
      <c r="AE33" s="78"/>
      <c r="AF33" s="77"/>
      <c r="AG33" s="79"/>
      <c r="AH33" s="68"/>
      <c r="AI33" s="69"/>
      <c r="AJ33" s="80"/>
      <c r="AK33" s="19"/>
      <c r="AL33" s="19"/>
      <c r="AM33" s="19"/>
      <c r="AN33" s="19"/>
      <c r="AO33" s="19"/>
    </row>
    <row r="34" spans="1:41" x14ac:dyDescent="0.2">
      <c r="A34" s="47"/>
      <c r="B34" s="64"/>
      <c r="C34" s="47"/>
      <c r="D34" s="64"/>
      <c r="E34" s="64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19"/>
      <c r="AC34" s="19"/>
      <c r="AD34" s="76"/>
      <c r="AE34" s="78"/>
      <c r="AF34" s="77"/>
      <c r="AG34" s="79"/>
      <c r="AH34" s="68"/>
      <c r="AI34" s="69"/>
      <c r="AJ34" s="80"/>
      <c r="AK34" s="19"/>
      <c r="AL34" s="19"/>
      <c r="AM34" s="19"/>
      <c r="AN34" s="19"/>
      <c r="AO34" s="19"/>
    </row>
    <row r="35" spans="1:41" x14ac:dyDescent="0.2">
      <c r="A35" s="47"/>
      <c r="B35" s="64"/>
      <c r="C35" s="47"/>
      <c r="D35" s="64"/>
      <c r="E35" s="64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19"/>
      <c r="AC35" s="19"/>
      <c r="AD35" s="76"/>
      <c r="AE35" s="78"/>
      <c r="AF35" s="77"/>
      <c r="AG35" s="79"/>
      <c r="AH35" s="68"/>
      <c r="AI35" s="69"/>
      <c r="AJ35" s="80"/>
      <c r="AK35" s="19"/>
      <c r="AL35" s="19"/>
      <c r="AM35" s="19"/>
      <c r="AN35" s="19"/>
      <c r="AO35" s="19"/>
    </row>
    <row r="36" spans="1:41" x14ac:dyDescent="0.2">
      <c r="A36" s="47"/>
      <c r="B36" s="64"/>
      <c r="C36" s="47"/>
      <c r="D36" s="64"/>
      <c r="E36" s="64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19"/>
      <c r="AC36" s="19"/>
      <c r="AD36" s="76"/>
      <c r="AE36" s="78"/>
      <c r="AF36" s="77"/>
      <c r="AG36" s="79"/>
      <c r="AH36" s="68"/>
      <c r="AI36" s="69"/>
      <c r="AJ36" s="80"/>
      <c r="AK36" s="19"/>
      <c r="AL36" s="19"/>
      <c r="AM36" s="19"/>
      <c r="AN36" s="19"/>
      <c r="AO36" s="19"/>
    </row>
    <row r="37" spans="1:41" x14ac:dyDescent="0.2">
      <c r="A37" s="47"/>
      <c r="B37" s="64"/>
      <c r="C37" s="47"/>
      <c r="D37" s="64"/>
      <c r="E37" s="64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19"/>
      <c r="AC37" s="19"/>
      <c r="AD37" s="76"/>
      <c r="AE37" s="78"/>
      <c r="AF37" s="77"/>
      <c r="AG37" s="79"/>
      <c r="AH37" s="68"/>
      <c r="AI37" s="69"/>
      <c r="AJ37" s="80"/>
      <c r="AK37" s="19"/>
      <c r="AL37" s="19"/>
      <c r="AM37" s="19"/>
      <c r="AN37" s="19"/>
      <c r="AO37" s="19"/>
    </row>
    <row r="38" spans="1:41" x14ac:dyDescent="0.2">
      <c r="A38" s="47"/>
      <c r="B38" s="64"/>
      <c r="C38" s="47"/>
      <c r="D38" s="64"/>
      <c r="E38" s="64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19"/>
      <c r="AC38" s="19"/>
      <c r="AD38" s="76"/>
      <c r="AE38" s="78"/>
      <c r="AF38" s="77"/>
      <c r="AG38" s="79"/>
      <c r="AH38" s="68"/>
      <c r="AI38" s="69"/>
      <c r="AJ38" s="80"/>
      <c r="AK38" s="19"/>
      <c r="AL38" s="19"/>
      <c r="AM38" s="19"/>
      <c r="AN38" s="19"/>
      <c r="AO38" s="19"/>
    </row>
    <row r="39" spans="1:41" x14ac:dyDescent="0.2">
      <c r="A39" s="47"/>
      <c r="B39" s="64"/>
      <c r="C39" s="47"/>
      <c r="D39" s="64"/>
      <c r="E39" s="64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19"/>
      <c r="AC39" s="19"/>
      <c r="AD39" s="76"/>
      <c r="AE39" s="78"/>
      <c r="AF39" s="77"/>
      <c r="AG39" s="79"/>
      <c r="AH39" s="68"/>
      <c r="AI39" s="69"/>
      <c r="AJ39" s="80"/>
      <c r="AK39" s="19"/>
      <c r="AL39" s="19"/>
      <c r="AM39" s="19"/>
      <c r="AN39" s="19"/>
      <c r="AO39" s="19"/>
    </row>
    <row r="40" spans="1:41" x14ac:dyDescent="0.2">
      <c r="A40" s="47"/>
      <c r="B40" s="64"/>
      <c r="C40" s="47"/>
      <c r="D40" s="64"/>
      <c r="E40" s="64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19"/>
      <c r="AC40" s="19"/>
      <c r="AD40" s="76"/>
      <c r="AE40" s="78"/>
      <c r="AF40" s="77"/>
      <c r="AG40" s="79"/>
      <c r="AH40" s="68"/>
      <c r="AI40" s="69"/>
      <c r="AJ40" s="80"/>
      <c r="AK40" s="19"/>
      <c r="AL40" s="19"/>
      <c r="AM40" s="19"/>
      <c r="AN40" s="19"/>
      <c r="AO40" s="19"/>
    </row>
    <row r="41" spans="1:41" x14ac:dyDescent="0.2">
      <c r="A41" s="47"/>
      <c r="B41" s="64"/>
      <c r="C41" s="47"/>
      <c r="D41" s="64"/>
      <c r="E41" s="64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19"/>
      <c r="AC41" s="19"/>
      <c r="AD41" s="76"/>
      <c r="AE41" s="78"/>
      <c r="AF41" s="77"/>
      <c r="AG41" s="79"/>
      <c r="AH41" s="68"/>
      <c r="AI41" s="69"/>
      <c r="AJ41" s="80"/>
      <c r="AK41" s="19"/>
      <c r="AL41" s="19"/>
      <c r="AM41" s="19"/>
      <c r="AN41" s="19"/>
      <c r="AO41" s="19"/>
    </row>
    <row r="42" spans="1:41" x14ac:dyDescent="0.2">
      <c r="A42" s="47"/>
      <c r="B42" s="64"/>
      <c r="C42" s="47"/>
      <c r="D42" s="64"/>
      <c r="E42" s="64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19"/>
      <c r="AC42" s="19"/>
      <c r="AD42" s="76"/>
      <c r="AE42" s="78"/>
      <c r="AF42" s="77"/>
      <c r="AG42" s="79"/>
      <c r="AH42" s="68"/>
      <c r="AI42" s="69"/>
      <c r="AJ42" s="80"/>
      <c r="AK42" s="19"/>
      <c r="AL42" s="19"/>
      <c r="AM42" s="19"/>
      <c r="AN42" s="19"/>
      <c r="AO42" s="19"/>
    </row>
    <row r="43" spans="1:41" x14ac:dyDescent="0.2">
      <c r="A43" s="47"/>
      <c r="B43" s="64"/>
      <c r="C43" s="47"/>
      <c r="D43" s="64"/>
      <c r="E43" s="64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19"/>
      <c r="AC43" s="19"/>
      <c r="AD43" s="76"/>
      <c r="AE43" s="78"/>
      <c r="AF43" s="77"/>
      <c r="AG43" s="79"/>
      <c r="AH43" s="68"/>
      <c r="AI43" s="69"/>
      <c r="AJ43" s="80"/>
      <c r="AK43" s="19"/>
      <c r="AL43" s="19"/>
      <c r="AM43" s="19"/>
      <c r="AN43" s="19"/>
      <c r="AO43" s="19"/>
    </row>
    <row r="44" spans="1:41" x14ac:dyDescent="0.2">
      <c r="A44" s="47"/>
      <c r="B44" s="64"/>
      <c r="C44" s="47"/>
      <c r="D44" s="64"/>
      <c r="E44" s="64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19"/>
      <c r="AC44" s="19"/>
      <c r="AD44" s="76"/>
      <c r="AE44" s="78"/>
      <c r="AF44" s="77"/>
      <c r="AG44" s="79"/>
      <c r="AH44" s="68"/>
      <c r="AI44" s="69"/>
      <c r="AJ44" s="80"/>
      <c r="AK44" s="19"/>
      <c r="AL44" s="19"/>
      <c r="AM44" s="19"/>
      <c r="AN44" s="19"/>
      <c r="AO44" s="19"/>
    </row>
    <row r="45" spans="1:41" x14ac:dyDescent="0.2">
      <c r="A45" s="47"/>
      <c r="B45" s="64"/>
      <c r="C45" s="47"/>
      <c r="D45" s="64"/>
      <c r="E45" s="64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19"/>
      <c r="AC45" s="19"/>
      <c r="AD45" s="76"/>
      <c r="AE45" s="78"/>
      <c r="AF45" s="77"/>
      <c r="AG45" s="79"/>
      <c r="AH45" s="68"/>
      <c r="AI45" s="69"/>
      <c r="AJ45" s="80"/>
      <c r="AK45" s="19"/>
      <c r="AL45" s="19"/>
      <c r="AM45" s="19"/>
      <c r="AN45" s="19"/>
      <c r="AO45" s="19"/>
    </row>
    <row r="46" spans="1:41" x14ac:dyDescent="0.2">
      <c r="A46" s="47"/>
      <c r="B46" s="64"/>
      <c r="C46" s="47"/>
      <c r="D46" s="64"/>
      <c r="E46" s="64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19"/>
      <c r="AC46" s="19"/>
      <c r="AD46" s="76"/>
      <c r="AE46" s="78"/>
      <c r="AF46" s="77"/>
      <c r="AG46" s="79"/>
      <c r="AH46" s="68"/>
      <c r="AI46" s="69"/>
      <c r="AJ46" s="80"/>
      <c r="AK46" s="19"/>
      <c r="AL46" s="19"/>
      <c r="AM46" s="19"/>
      <c r="AN46" s="19"/>
      <c r="AO46" s="19"/>
    </row>
    <row r="47" spans="1:41" x14ac:dyDescent="0.2">
      <c r="A47" s="47"/>
      <c r="B47" s="64"/>
      <c r="C47" s="47"/>
      <c r="D47" s="64"/>
      <c r="E47" s="64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19"/>
      <c r="AC47" s="19"/>
      <c r="AD47" s="76"/>
      <c r="AE47" s="78"/>
      <c r="AF47" s="77"/>
      <c r="AG47" s="79"/>
      <c r="AH47" s="68"/>
      <c r="AI47" s="69"/>
      <c r="AJ47" s="80"/>
      <c r="AK47" s="19"/>
      <c r="AL47" s="19"/>
      <c r="AM47" s="19"/>
      <c r="AN47" s="19"/>
      <c r="AO47" s="19"/>
    </row>
    <row r="48" spans="1:41" x14ac:dyDescent="0.2">
      <c r="A48" s="47"/>
      <c r="B48" s="64"/>
      <c r="C48" s="47"/>
      <c r="D48" s="64"/>
      <c r="E48" s="64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19"/>
      <c r="AC48" s="19"/>
      <c r="AD48" s="76"/>
      <c r="AE48" s="78"/>
      <c r="AF48" s="77"/>
      <c r="AG48" s="79"/>
      <c r="AH48" s="68"/>
      <c r="AI48" s="69"/>
      <c r="AJ48" s="80"/>
      <c r="AK48" s="19"/>
      <c r="AL48" s="19"/>
      <c r="AM48" s="19"/>
      <c r="AN48" s="19"/>
      <c r="AO48" s="19"/>
    </row>
    <row r="49" spans="1:41" x14ac:dyDescent="0.2">
      <c r="A49" s="47"/>
      <c r="B49" s="64"/>
      <c r="C49" s="47"/>
      <c r="D49" s="64"/>
      <c r="E49" s="64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19"/>
      <c r="AC49" s="19"/>
      <c r="AD49" s="76"/>
      <c r="AE49" s="78"/>
      <c r="AF49" s="77"/>
      <c r="AG49" s="79"/>
      <c r="AH49" s="68"/>
      <c r="AI49" s="69"/>
      <c r="AJ49" s="80"/>
      <c r="AK49" s="19"/>
      <c r="AL49" s="19"/>
      <c r="AM49" s="19"/>
      <c r="AN49" s="19"/>
      <c r="AO49" s="19"/>
    </row>
    <row r="50" spans="1:41" x14ac:dyDescent="0.2">
      <c r="A50" s="47"/>
      <c r="B50" s="64"/>
      <c r="C50" s="47"/>
      <c r="D50" s="64"/>
      <c r="E50" s="64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19"/>
      <c r="AC50" s="19"/>
      <c r="AD50" s="76"/>
      <c r="AE50" s="78"/>
      <c r="AF50" s="77"/>
      <c r="AG50" s="79"/>
      <c r="AH50" s="68"/>
      <c r="AI50" s="69"/>
      <c r="AJ50" s="80"/>
      <c r="AK50" s="19"/>
      <c r="AL50" s="19"/>
      <c r="AM50" s="19"/>
      <c r="AN50" s="19"/>
      <c r="AO50" s="19"/>
    </row>
    <row r="51" spans="1:41" x14ac:dyDescent="0.2">
      <c r="A51" s="47"/>
      <c r="B51" s="64"/>
      <c r="C51" s="47"/>
      <c r="D51" s="64"/>
      <c r="E51" s="64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19"/>
      <c r="AC51" s="19"/>
      <c r="AD51" s="76"/>
      <c r="AE51" s="78"/>
      <c r="AF51" s="77"/>
      <c r="AG51" s="79"/>
      <c r="AH51" s="68"/>
      <c r="AI51" s="69"/>
      <c r="AJ51" s="80"/>
      <c r="AK51" s="19"/>
      <c r="AL51" s="19"/>
      <c r="AM51" s="19"/>
      <c r="AN51" s="19"/>
      <c r="AO51" s="19"/>
    </row>
    <row r="52" spans="1:41" x14ac:dyDescent="0.2">
      <c r="A52" s="47"/>
      <c r="B52" s="64"/>
      <c r="C52" s="47"/>
      <c r="D52" s="64"/>
      <c r="E52" s="64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19"/>
      <c r="AC52" s="19"/>
      <c r="AD52" s="76"/>
      <c r="AE52" s="78"/>
      <c r="AF52" s="77"/>
      <c r="AG52" s="79"/>
      <c r="AH52" s="68"/>
      <c r="AI52" s="69"/>
      <c r="AJ52" s="80"/>
      <c r="AK52" s="19"/>
      <c r="AL52" s="19"/>
      <c r="AM52" s="19"/>
      <c r="AN52" s="19"/>
      <c r="AO52" s="19"/>
    </row>
    <row r="53" spans="1:41" x14ac:dyDescent="0.2">
      <c r="A53" s="47"/>
      <c r="B53" s="64"/>
      <c r="C53" s="47"/>
      <c r="D53" s="64"/>
      <c r="E53" s="64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19"/>
      <c r="AC53" s="19"/>
      <c r="AD53" s="76"/>
      <c r="AE53" s="78"/>
      <c r="AF53" s="77"/>
      <c r="AG53" s="79"/>
      <c r="AH53" s="68"/>
      <c r="AI53" s="69"/>
      <c r="AJ53" s="80"/>
      <c r="AK53" s="19"/>
      <c r="AL53" s="19"/>
      <c r="AM53" s="19"/>
      <c r="AN53" s="19"/>
      <c r="AO53" s="19"/>
    </row>
    <row r="54" spans="1:41" x14ac:dyDescent="0.2">
      <c r="A54" s="47"/>
      <c r="B54" s="64"/>
      <c r="C54" s="47"/>
      <c r="D54" s="64"/>
      <c r="E54" s="64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19"/>
      <c r="AC54" s="19"/>
      <c r="AD54" s="76"/>
      <c r="AE54" s="78"/>
      <c r="AF54" s="77"/>
      <c r="AG54" s="79"/>
      <c r="AH54" s="68"/>
      <c r="AI54" s="69"/>
      <c r="AJ54" s="80"/>
      <c r="AK54" s="19"/>
      <c r="AL54" s="19"/>
      <c r="AM54" s="19"/>
      <c r="AN54" s="19"/>
      <c r="AO54" s="19"/>
    </row>
    <row r="55" spans="1:41" x14ac:dyDescent="0.2">
      <c r="A55" s="47"/>
      <c r="B55" s="64"/>
      <c r="C55" s="47"/>
      <c r="D55" s="64"/>
      <c r="E55" s="64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19"/>
      <c r="AC55" s="19"/>
      <c r="AD55" s="76"/>
      <c r="AE55" s="78"/>
      <c r="AF55" s="77"/>
      <c r="AG55" s="79"/>
      <c r="AH55" s="68"/>
      <c r="AI55" s="69"/>
      <c r="AJ55" s="80"/>
      <c r="AK55" s="19"/>
      <c r="AL55" s="19"/>
      <c r="AM55" s="19"/>
      <c r="AN55" s="19"/>
      <c r="AO55" s="19"/>
    </row>
    <row r="56" spans="1:41" x14ac:dyDescent="0.2">
      <c r="A56" s="47"/>
      <c r="B56" s="64"/>
      <c r="C56" s="47"/>
      <c r="D56" s="64"/>
      <c r="E56" s="64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19"/>
      <c r="AC56" s="19"/>
      <c r="AD56" s="76"/>
      <c r="AE56" s="78"/>
      <c r="AF56" s="77"/>
      <c r="AG56" s="79"/>
      <c r="AH56" s="68"/>
      <c r="AI56" s="69"/>
      <c r="AJ56" s="80"/>
      <c r="AK56" s="19"/>
      <c r="AL56" s="19"/>
      <c r="AM56" s="19"/>
      <c r="AN56" s="19"/>
      <c r="AO56" s="19"/>
    </row>
    <row r="57" spans="1:41" x14ac:dyDescent="0.2">
      <c r="A57" s="47"/>
      <c r="B57" s="64"/>
      <c r="C57" s="47"/>
      <c r="D57" s="64"/>
      <c r="E57" s="64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19"/>
      <c r="AC57" s="19"/>
      <c r="AD57" s="76"/>
      <c r="AE57" s="78"/>
      <c r="AF57" s="77"/>
      <c r="AG57" s="79"/>
      <c r="AH57" s="68"/>
      <c r="AI57" s="69"/>
      <c r="AJ57" s="80"/>
      <c r="AK57" s="19"/>
      <c r="AL57" s="19"/>
      <c r="AM57" s="19"/>
      <c r="AN57" s="19"/>
      <c r="AO57" s="19"/>
    </row>
    <row r="58" spans="1:41" x14ac:dyDescent="0.2">
      <c r="A58" s="47"/>
      <c r="B58" s="64"/>
      <c r="C58" s="47"/>
      <c r="D58" s="64"/>
      <c r="E58" s="64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19"/>
      <c r="AC58" s="19"/>
      <c r="AD58" s="76"/>
      <c r="AE58" s="78"/>
      <c r="AF58" s="77"/>
      <c r="AG58" s="79"/>
      <c r="AH58" s="68"/>
      <c r="AI58" s="69"/>
      <c r="AJ58" s="80"/>
      <c r="AK58" s="19"/>
      <c r="AL58" s="19"/>
      <c r="AM58" s="19"/>
      <c r="AN58" s="19"/>
      <c r="AO58" s="19"/>
    </row>
    <row r="59" spans="1:41" x14ac:dyDescent="0.2">
      <c r="A59" s="47"/>
      <c r="B59" s="64"/>
      <c r="C59" s="47"/>
      <c r="D59" s="64"/>
      <c r="E59" s="64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19"/>
      <c r="AC59" s="19"/>
      <c r="AD59" s="76"/>
      <c r="AE59" s="78"/>
      <c r="AF59" s="77"/>
      <c r="AG59" s="79"/>
      <c r="AH59" s="68"/>
      <c r="AI59" s="69"/>
      <c r="AJ59" s="80"/>
      <c r="AK59" s="19"/>
      <c r="AL59" s="19"/>
      <c r="AM59" s="19"/>
      <c r="AN59" s="19"/>
      <c r="AO59" s="19"/>
    </row>
    <row r="60" spans="1:41" x14ac:dyDescent="0.2">
      <c r="A60" s="47"/>
      <c r="B60" s="64"/>
      <c r="C60" s="47"/>
      <c r="D60" s="64"/>
      <c r="E60" s="64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19"/>
      <c r="AC60" s="19"/>
      <c r="AD60" s="76"/>
      <c r="AE60" s="78"/>
      <c r="AF60" s="77"/>
      <c r="AG60" s="79"/>
      <c r="AH60" s="68"/>
      <c r="AI60" s="69"/>
      <c r="AJ60" s="80"/>
      <c r="AK60" s="19"/>
      <c r="AL60" s="19"/>
      <c r="AM60" s="19"/>
      <c r="AN60" s="19"/>
      <c r="AO60" s="19"/>
    </row>
    <row r="61" spans="1:41" x14ac:dyDescent="0.2">
      <c r="A61" s="47"/>
      <c r="B61" s="64"/>
      <c r="C61" s="47"/>
      <c r="D61" s="64"/>
      <c r="E61" s="64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19"/>
      <c r="AC61" s="19"/>
      <c r="AD61" s="76"/>
      <c r="AE61" s="78"/>
      <c r="AF61" s="77"/>
      <c r="AG61" s="79"/>
      <c r="AH61" s="68"/>
      <c r="AI61" s="69"/>
      <c r="AJ61" s="80"/>
      <c r="AK61" s="19"/>
      <c r="AL61" s="19"/>
      <c r="AM61" s="19"/>
      <c r="AN61" s="19"/>
      <c r="AO61" s="19"/>
    </row>
    <row r="62" spans="1:41" x14ac:dyDescent="0.2">
      <c r="A62" s="47"/>
      <c r="B62" s="64"/>
      <c r="C62" s="47"/>
      <c r="D62" s="64"/>
      <c r="E62" s="64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19"/>
      <c r="AC62" s="19"/>
      <c r="AD62" s="76"/>
      <c r="AE62" s="78"/>
      <c r="AF62" s="77"/>
      <c r="AG62" s="79"/>
      <c r="AH62" s="68"/>
      <c r="AI62" s="69"/>
      <c r="AJ62" s="80"/>
      <c r="AK62" s="19"/>
      <c r="AL62" s="19"/>
      <c r="AM62" s="19"/>
      <c r="AN62" s="19"/>
      <c r="AO62" s="19"/>
    </row>
    <row r="63" spans="1:41" x14ac:dyDescent="0.2">
      <c r="A63" s="47"/>
      <c r="B63" s="64"/>
      <c r="C63" s="47"/>
      <c r="D63" s="64"/>
      <c r="E63" s="64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19"/>
      <c r="AC63" s="19"/>
      <c r="AD63" s="76"/>
      <c r="AE63" s="78"/>
      <c r="AF63" s="77"/>
      <c r="AG63" s="79"/>
      <c r="AH63" s="68"/>
      <c r="AI63" s="69"/>
      <c r="AJ63" s="80"/>
      <c r="AK63" s="19"/>
      <c r="AL63" s="19"/>
      <c r="AM63" s="19"/>
      <c r="AN63" s="19"/>
      <c r="AO63" s="19"/>
    </row>
    <row r="64" spans="1:41" x14ac:dyDescent="0.2">
      <c r="A64" s="47"/>
      <c r="B64" s="64"/>
      <c r="C64" s="47"/>
      <c r="D64" s="64"/>
      <c r="E64" s="64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19"/>
      <c r="AC64" s="19"/>
      <c r="AD64" s="76"/>
      <c r="AE64" s="78"/>
      <c r="AF64" s="77"/>
      <c r="AG64" s="79"/>
      <c r="AH64" s="68"/>
      <c r="AI64" s="69"/>
      <c r="AJ64" s="80"/>
      <c r="AK64" s="19"/>
      <c r="AL64" s="19"/>
      <c r="AM64" s="19"/>
      <c r="AN64" s="19"/>
      <c r="AO64" s="19"/>
    </row>
    <row r="65" spans="1:41" x14ac:dyDescent="0.2">
      <c r="A65" s="47"/>
      <c r="B65" s="64"/>
      <c r="C65" s="47"/>
      <c r="D65" s="64"/>
      <c r="E65" s="64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19"/>
      <c r="AC65" s="19"/>
      <c r="AD65" s="76"/>
      <c r="AE65" s="78"/>
      <c r="AF65" s="77"/>
      <c r="AG65" s="79"/>
      <c r="AH65" s="68"/>
      <c r="AI65" s="69"/>
      <c r="AJ65" s="80"/>
      <c r="AK65" s="19"/>
      <c r="AL65" s="19"/>
      <c r="AM65" s="19"/>
      <c r="AN65" s="19"/>
      <c r="AO65" s="19"/>
    </row>
    <row r="66" spans="1:41" x14ac:dyDescent="0.2">
      <c r="A66" s="47"/>
      <c r="B66" s="64"/>
      <c r="C66" s="47"/>
      <c r="D66" s="64"/>
      <c r="E66" s="64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19"/>
      <c r="AC66" s="19"/>
      <c r="AD66" s="76"/>
      <c r="AE66" s="78"/>
      <c r="AF66" s="77"/>
      <c r="AG66" s="79"/>
      <c r="AH66" s="68"/>
      <c r="AI66" s="69"/>
      <c r="AJ66" s="80"/>
      <c r="AK66" s="19"/>
      <c r="AL66" s="19"/>
      <c r="AM66" s="19"/>
      <c r="AN66" s="19"/>
      <c r="AO66" s="19"/>
    </row>
    <row r="67" spans="1:41" x14ac:dyDescent="0.2">
      <c r="A67" s="47"/>
      <c r="B67" s="64"/>
      <c r="C67" s="47"/>
      <c r="D67" s="64"/>
      <c r="E67" s="64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19"/>
      <c r="AC67" s="19"/>
      <c r="AD67" s="76"/>
      <c r="AE67" s="78"/>
      <c r="AF67" s="77"/>
      <c r="AG67" s="79"/>
      <c r="AH67" s="68"/>
      <c r="AI67" s="69"/>
      <c r="AJ67" s="80"/>
      <c r="AK67" s="19"/>
      <c r="AL67" s="19"/>
      <c r="AM67" s="19"/>
      <c r="AN67" s="19"/>
      <c r="AO67" s="19"/>
    </row>
    <row r="68" spans="1:41" x14ac:dyDescent="0.2">
      <c r="A68" s="47"/>
      <c r="B68" s="64"/>
      <c r="C68" s="47"/>
      <c r="D68" s="64"/>
      <c r="E68" s="64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19"/>
      <c r="AC68" s="19"/>
      <c r="AD68" s="76"/>
      <c r="AE68" s="78"/>
      <c r="AF68" s="77"/>
      <c r="AG68" s="79"/>
      <c r="AH68" s="68"/>
      <c r="AI68" s="69"/>
      <c r="AJ68" s="80"/>
      <c r="AK68" s="19"/>
      <c r="AL68" s="19"/>
      <c r="AM68" s="19"/>
      <c r="AN68" s="19"/>
      <c r="AO68" s="19"/>
    </row>
    <row r="69" spans="1:41" x14ac:dyDescent="0.2">
      <c r="A69" s="47"/>
      <c r="B69" s="64"/>
      <c r="C69" s="47"/>
      <c r="D69" s="64"/>
      <c r="E69" s="64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19"/>
      <c r="AC69" s="19"/>
      <c r="AD69" s="76"/>
      <c r="AE69" s="78"/>
      <c r="AF69" s="77"/>
      <c r="AG69" s="79"/>
      <c r="AH69" s="68"/>
      <c r="AI69" s="69"/>
      <c r="AJ69" s="80"/>
      <c r="AK69" s="19"/>
      <c r="AL69" s="19"/>
      <c r="AM69" s="19"/>
      <c r="AN69" s="19"/>
      <c r="AO69" s="19"/>
    </row>
    <row r="70" spans="1:41" x14ac:dyDescent="0.2">
      <c r="A70" s="47"/>
      <c r="B70" s="64"/>
      <c r="C70" s="47"/>
      <c r="D70" s="64"/>
      <c r="E70" s="64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19"/>
      <c r="AC70" s="19"/>
      <c r="AD70" s="76"/>
      <c r="AE70" s="78"/>
      <c r="AF70" s="77"/>
      <c r="AG70" s="79"/>
      <c r="AH70" s="68"/>
      <c r="AI70" s="69"/>
      <c r="AJ70" s="80"/>
      <c r="AK70" s="19"/>
      <c r="AL70" s="19"/>
      <c r="AM70" s="19"/>
      <c r="AN70" s="19"/>
      <c r="AO70" s="19"/>
    </row>
    <row r="71" spans="1:41" x14ac:dyDescent="0.2">
      <c r="A71" s="47"/>
      <c r="B71" s="64"/>
      <c r="C71" s="47"/>
      <c r="D71" s="64"/>
      <c r="E71" s="64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19"/>
      <c r="AC71" s="19"/>
      <c r="AD71" s="76"/>
      <c r="AE71" s="78"/>
      <c r="AF71" s="77"/>
      <c r="AG71" s="79"/>
      <c r="AH71" s="68"/>
      <c r="AI71" s="69"/>
      <c r="AJ71" s="80"/>
      <c r="AK71" s="19"/>
      <c r="AL71" s="19"/>
      <c r="AM71" s="19"/>
      <c r="AN71" s="19"/>
      <c r="AO71" s="19"/>
    </row>
    <row r="72" spans="1:41" x14ac:dyDescent="0.2">
      <c r="A72" s="47"/>
      <c r="B72" s="64"/>
      <c r="C72" s="47"/>
      <c r="D72" s="64"/>
      <c r="E72" s="64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19"/>
      <c r="AC72" s="19"/>
      <c r="AD72" s="76"/>
      <c r="AE72" s="78"/>
      <c r="AF72" s="77"/>
      <c r="AG72" s="79"/>
      <c r="AH72" s="68"/>
      <c r="AI72" s="69"/>
      <c r="AJ72" s="80"/>
      <c r="AK72" s="19"/>
      <c r="AL72" s="19"/>
      <c r="AM72" s="19"/>
      <c r="AN72" s="19"/>
      <c r="AO72" s="19"/>
    </row>
    <row r="73" spans="1:41" x14ac:dyDescent="0.2">
      <c r="A73" s="47"/>
      <c r="B73" s="64"/>
      <c r="C73" s="47"/>
      <c r="D73" s="64"/>
      <c r="E73" s="64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19"/>
      <c r="AC73" s="19"/>
      <c r="AD73" s="76"/>
      <c r="AE73" s="78"/>
      <c r="AF73" s="77"/>
      <c r="AG73" s="79"/>
      <c r="AH73" s="68"/>
      <c r="AI73" s="69"/>
      <c r="AJ73" s="80"/>
      <c r="AK73" s="19"/>
      <c r="AL73" s="19"/>
      <c r="AM73" s="19"/>
      <c r="AN73" s="19"/>
      <c r="AO73" s="19"/>
    </row>
    <row r="74" spans="1:41" x14ac:dyDescent="0.2">
      <c r="A74" s="47"/>
      <c r="B74" s="64"/>
      <c r="C74" s="47"/>
      <c r="D74" s="64"/>
      <c r="E74" s="64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19"/>
      <c r="AC74" s="19"/>
      <c r="AD74" s="76"/>
      <c r="AE74" s="78"/>
      <c r="AF74" s="77"/>
      <c r="AG74" s="79"/>
      <c r="AH74" s="68"/>
      <c r="AI74" s="69"/>
      <c r="AJ74" s="80"/>
      <c r="AK74" s="19"/>
      <c r="AL74" s="19"/>
      <c r="AM74" s="19"/>
      <c r="AN74" s="19"/>
      <c r="AO74" s="19"/>
    </row>
    <row r="75" spans="1:41" x14ac:dyDescent="0.2">
      <c r="A75" s="47"/>
      <c r="B75" s="64"/>
      <c r="C75" s="47"/>
      <c r="D75" s="64"/>
      <c r="E75" s="64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19"/>
      <c r="AC75" s="19"/>
      <c r="AD75" s="76"/>
      <c r="AE75" s="78"/>
      <c r="AF75" s="77"/>
      <c r="AG75" s="79"/>
      <c r="AH75" s="68"/>
      <c r="AI75" s="69"/>
      <c r="AJ75" s="80"/>
      <c r="AK75" s="19"/>
      <c r="AL75" s="19"/>
      <c r="AM75" s="19"/>
      <c r="AN75" s="19"/>
      <c r="AO75" s="19"/>
    </row>
    <row r="76" spans="1:41" x14ac:dyDescent="0.2">
      <c r="A76" s="47"/>
      <c r="B76" s="64"/>
      <c r="C76" s="47"/>
      <c r="D76" s="64"/>
      <c r="E76" s="64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19"/>
      <c r="AC76" s="19"/>
      <c r="AD76" s="76"/>
      <c r="AE76" s="78"/>
      <c r="AF76" s="77"/>
      <c r="AG76" s="79"/>
      <c r="AH76" s="68"/>
      <c r="AI76" s="69"/>
      <c r="AJ76" s="80"/>
      <c r="AK76" s="19"/>
      <c r="AL76" s="19"/>
      <c r="AM76" s="19"/>
      <c r="AN76" s="19"/>
      <c r="AO76" s="19"/>
    </row>
    <row r="77" spans="1:41" x14ac:dyDescent="0.2">
      <c r="A77" s="47"/>
      <c r="B77" s="64"/>
      <c r="C77" s="47"/>
      <c r="D77" s="64"/>
      <c r="E77" s="64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19"/>
      <c r="AC77" s="19"/>
      <c r="AD77" s="76"/>
      <c r="AE77" s="78"/>
      <c r="AF77" s="77"/>
      <c r="AG77" s="79"/>
      <c r="AH77" s="68"/>
      <c r="AI77" s="69"/>
      <c r="AJ77" s="80"/>
      <c r="AK77" s="19"/>
      <c r="AL77" s="19"/>
      <c r="AM77" s="19"/>
      <c r="AN77" s="19"/>
      <c r="AO77" s="19"/>
    </row>
    <row r="78" spans="1:41" x14ac:dyDescent="0.2">
      <c r="A78" s="47"/>
      <c r="B78" s="64"/>
      <c r="C78" s="47"/>
      <c r="D78" s="64"/>
      <c r="E78" s="64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19"/>
      <c r="AC78" s="19"/>
      <c r="AD78" s="76"/>
      <c r="AE78" s="78"/>
      <c r="AF78" s="77"/>
      <c r="AG78" s="79"/>
      <c r="AH78" s="68"/>
      <c r="AI78" s="69"/>
      <c r="AJ78" s="80"/>
      <c r="AK78" s="19"/>
      <c r="AL78" s="19"/>
      <c r="AM78" s="19"/>
      <c r="AN78" s="19"/>
      <c r="AO78" s="19"/>
    </row>
    <row r="79" spans="1:41" x14ac:dyDescent="0.2">
      <c r="A79" s="47"/>
      <c r="B79" s="64"/>
      <c r="C79" s="47"/>
      <c r="D79" s="64"/>
      <c r="E79" s="64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19"/>
      <c r="AC79" s="19"/>
      <c r="AD79" s="76"/>
      <c r="AE79" s="78"/>
      <c r="AF79" s="77"/>
      <c r="AG79" s="79"/>
      <c r="AH79" s="68"/>
      <c r="AI79" s="69"/>
      <c r="AJ79" s="80"/>
      <c r="AK79" s="19"/>
      <c r="AL79" s="19"/>
      <c r="AM79" s="19"/>
      <c r="AN79" s="19"/>
      <c r="AO79" s="19"/>
    </row>
    <row r="80" spans="1:41" x14ac:dyDescent="0.2">
      <c r="A80" s="47"/>
      <c r="B80" s="64"/>
      <c r="C80" s="47"/>
      <c r="D80" s="64"/>
      <c r="E80" s="64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19"/>
      <c r="AC80" s="19"/>
      <c r="AD80" s="76"/>
      <c r="AE80" s="78"/>
      <c r="AF80" s="77"/>
      <c r="AG80" s="79"/>
      <c r="AH80" s="68"/>
      <c r="AI80" s="69"/>
      <c r="AJ80" s="80"/>
      <c r="AK80" s="19"/>
      <c r="AL80" s="19"/>
      <c r="AM80" s="19"/>
      <c r="AN80" s="19"/>
      <c r="AO80" s="19"/>
    </row>
    <row r="81" spans="1:41" x14ac:dyDescent="0.2">
      <c r="A81" s="47"/>
      <c r="B81" s="64"/>
      <c r="C81" s="47"/>
      <c r="D81" s="64"/>
      <c r="E81" s="64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19"/>
      <c r="AC81" s="19"/>
      <c r="AD81" s="76"/>
      <c r="AE81" s="78"/>
      <c r="AF81" s="77"/>
      <c r="AG81" s="79"/>
      <c r="AH81" s="68"/>
      <c r="AI81" s="69"/>
      <c r="AJ81" s="80"/>
      <c r="AK81" s="19"/>
      <c r="AL81" s="19"/>
      <c r="AM81" s="19"/>
      <c r="AN81" s="19"/>
      <c r="AO81" s="19"/>
    </row>
    <row r="82" spans="1:41" x14ac:dyDescent="0.2">
      <c r="A82" s="47"/>
      <c r="B82" s="64"/>
      <c r="C82" s="47"/>
      <c r="D82" s="64"/>
      <c r="E82" s="64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19"/>
      <c r="AC82" s="19"/>
      <c r="AD82" s="76"/>
      <c r="AE82" s="78"/>
      <c r="AF82" s="77"/>
      <c r="AG82" s="79"/>
      <c r="AH82" s="68"/>
      <c r="AI82" s="69"/>
      <c r="AJ82" s="80"/>
      <c r="AK82" s="19"/>
      <c r="AL82" s="19"/>
      <c r="AM82" s="19"/>
      <c r="AN82" s="19"/>
      <c r="AO82" s="19"/>
    </row>
    <row r="83" spans="1:41" x14ac:dyDescent="0.2">
      <c r="A83" s="47"/>
      <c r="B83" s="64"/>
      <c r="C83" s="47"/>
      <c r="D83" s="64"/>
      <c r="E83" s="64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19"/>
      <c r="AC83" s="19"/>
      <c r="AD83" s="76"/>
      <c r="AE83" s="78"/>
      <c r="AF83" s="77"/>
      <c r="AG83" s="79"/>
      <c r="AH83" s="68"/>
      <c r="AI83" s="69"/>
      <c r="AJ83" s="80"/>
      <c r="AK83" s="19"/>
      <c r="AL83" s="19"/>
      <c r="AM83" s="19"/>
      <c r="AN83" s="19"/>
      <c r="AO83" s="19"/>
    </row>
    <row r="84" spans="1:41" x14ac:dyDescent="0.2">
      <c r="A84" s="47"/>
      <c r="B84" s="64"/>
      <c r="C84" s="47"/>
      <c r="D84" s="64"/>
      <c r="E84" s="64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19"/>
      <c r="AC84" s="19"/>
      <c r="AD84" s="76"/>
      <c r="AE84" s="78"/>
      <c r="AF84" s="77"/>
      <c r="AG84" s="79"/>
      <c r="AH84" s="68"/>
      <c r="AI84" s="69"/>
      <c r="AJ84" s="80"/>
      <c r="AK84" s="19"/>
      <c r="AL84" s="19"/>
      <c r="AM84" s="19"/>
      <c r="AN84" s="19"/>
      <c r="AO84" s="19"/>
    </row>
    <row r="85" spans="1:41" x14ac:dyDescent="0.2">
      <c r="A85" s="47"/>
      <c r="B85" s="64"/>
      <c r="C85" s="47"/>
      <c r="D85" s="64"/>
      <c r="E85" s="64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19"/>
      <c r="AC85" s="19"/>
      <c r="AD85" s="76"/>
      <c r="AE85" s="78"/>
      <c r="AF85" s="77"/>
      <c r="AG85" s="79"/>
      <c r="AH85" s="68"/>
      <c r="AI85" s="69"/>
      <c r="AJ85" s="80"/>
      <c r="AK85" s="19"/>
      <c r="AL85" s="19"/>
      <c r="AM85" s="19"/>
      <c r="AN85" s="19"/>
      <c r="AO85" s="19"/>
    </row>
    <row r="86" spans="1:41" x14ac:dyDescent="0.2">
      <c r="A86" s="47"/>
      <c r="B86" s="64"/>
      <c r="C86" s="47"/>
      <c r="D86" s="64"/>
      <c r="E86" s="64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19"/>
      <c r="AC86" s="19"/>
      <c r="AD86" s="76"/>
      <c r="AE86" s="78"/>
      <c r="AF86" s="77"/>
      <c r="AG86" s="79"/>
      <c r="AH86" s="68"/>
      <c r="AI86" s="69"/>
      <c r="AJ86" s="80"/>
      <c r="AK86" s="19"/>
      <c r="AL86" s="19"/>
      <c r="AM86" s="19"/>
      <c r="AN86" s="19"/>
      <c r="AO86" s="19"/>
    </row>
    <row r="87" spans="1:41" x14ac:dyDescent="0.2">
      <c r="A87" s="47"/>
      <c r="B87" s="64"/>
      <c r="C87" s="47"/>
      <c r="D87" s="64"/>
      <c r="E87" s="64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19"/>
      <c r="AC87" s="19"/>
      <c r="AD87" s="76"/>
      <c r="AE87" s="78"/>
      <c r="AF87" s="77"/>
      <c r="AG87" s="79"/>
      <c r="AH87" s="68"/>
      <c r="AI87" s="69"/>
      <c r="AJ87" s="80"/>
      <c r="AK87" s="19"/>
      <c r="AL87" s="19"/>
      <c r="AM87" s="19"/>
      <c r="AN87" s="19"/>
      <c r="AO87" s="19"/>
    </row>
    <row r="88" spans="1:41" x14ac:dyDescent="0.2">
      <c r="A88" s="47"/>
      <c r="B88" s="64"/>
      <c r="C88" s="47"/>
      <c r="D88" s="64"/>
      <c r="E88" s="64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19"/>
      <c r="AC88" s="19"/>
      <c r="AD88" s="76"/>
      <c r="AE88" s="78"/>
      <c r="AF88" s="77"/>
      <c r="AG88" s="79"/>
      <c r="AH88" s="68"/>
      <c r="AI88" s="69"/>
      <c r="AJ88" s="80"/>
      <c r="AK88" s="19"/>
      <c r="AL88" s="19"/>
      <c r="AM88" s="19"/>
      <c r="AN88" s="19"/>
      <c r="AO88" s="19"/>
    </row>
    <row r="89" spans="1:41" x14ac:dyDescent="0.2">
      <c r="A89" s="47"/>
      <c r="B89" s="64"/>
      <c r="C89" s="47"/>
      <c r="D89" s="64"/>
      <c r="E89" s="64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19"/>
      <c r="AC89" s="19"/>
      <c r="AD89" s="76"/>
      <c r="AE89" s="78"/>
      <c r="AF89" s="77"/>
      <c r="AG89" s="79"/>
      <c r="AH89" s="68"/>
      <c r="AI89" s="69"/>
      <c r="AJ89" s="80"/>
      <c r="AK89" s="19"/>
      <c r="AL89" s="19"/>
      <c r="AM89" s="19"/>
      <c r="AN89" s="19"/>
      <c r="AO89" s="19"/>
    </row>
    <row r="90" spans="1:41" x14ac:dyDescent="0.2">
      <c r="A90" s="47"/>
      <c r="B90" s="64"/>
      <c r="C90" s="47"/>
      <c r="D90" s="64"/>
      <c r="E90" s="64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19"/>
      <c r="AC90" s="19"/>
      <c r="AD90" s="76"/>
      <c r="AE90" s="78"/>
      <c r="AF90" s="77"/>
      <c r="AG90" s="79"/>
      <c r="AH90" s="68"/>
      <c r="AI90" s="69"/>
      <c r="AJ90" s="80"/>
      <c r="AK90" s="19"/>
      <c r="AL90" s="19"/>
      <c r="AM90" s="19"/>
      <c r="AN90" s="19"/>
      <c r="AO90" s="19"/>
    </row>
    <row r="91" spans="1:41" x14ac:dyDescent="0.2">
      <c r="A91" s="47"/>
      <c r="B91" s="64"/>
      <c r="C91" s="47"/>
      <c r="D91" s="64"/>
      <c r="E91" s="64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19"/>
      <c r="AC91" s="19"/>
      <c r="AD91" s="76"/>
      <c r="AE91" s="78"/>
      <c r="AF91" s="77"/>
      <c r="AG91" s="79"/>
      <c r="AH91" s="68"/>
      <c r="AI91" s="69"/>
      <c r="AJ91" s="80"/>
      <c r="AK91" s="19"/>
      <c r="AL91" s="19"/>
      <c r="AM91" s="19"/>
      <c r="AN91" s="19"/>
      <c r="AO91" s="19"/>
    </row>
    <row r="92" spans="1:41" x14ac:dyDescent="0.2">
      <c r="A92" s="47"/>
      <c r="B92" s="64"/>
      <c r="C92" s="47"/>
      <c r="D92" s="64"/>
      <c r="E92" s="64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19"/>
      <c r="AC92" s="19"/>
      <c r="AD92" s="76"/>
      <c r="AE92" s="78"/>
      <c r="AF92" s="77"/>
      <c r="AG92" s="79"/>
      <c r="AH92" s="68"/>
      <c r="AI92" s="69"/>
      <c r="AJ92" s="80"/>
      <c r="AK92" s="19"/>
      <c r="AL92" s="19"/>
      <c r="AM92" s="19"/>
      <c r="AN92" s="19"/>
      <c r="AO92" s="19"/>
    </row>
    <row r="93" spans="1:41" x14ac:dyDescent="0.2">
      <c r="A93" s="47"/>
      <c r="B93" s="64"/>
      <c r="C93" s="47"/>
      <c r="D93" s="64"/>
      <c r="E93" s="64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19"/>
      <c r="AC93" s="19"/>
      <c r="AD93" s="76"/>
      <c r="AE93" s="78"/>
      <c r="AF93" s="77"/>
      <c r="AG93" s="79"/>
      <c r="AH93" s="68"/>
      <c r="AI93" s="69"/>
      <c r="AJ93" s="80"/>
      <c r="AK93" s="19"/>
      <c r="AL93" s="19"/>
      <c r="AM93" s="19"/>
      <c r="AN93" s="19"/>
      <c r="AO93" s="19"/>
    </row>
    <row r="94" spans="1:41" x14ac:dyDescent="0.2">
      <c r="A94" s="47"/>
      <c r="B94" s="64"/>
      <c r="C94" s="47"/>
      <c r="D94" s="64"/>
      <c r="E94" s="64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19"/>
      <c r="AC94" s="19"/>
      <c r="AD94" s="76"/>
      <c r="AE94" s="78"/>
      <c r="AF94" s="77"/>
      <c r="AG94" s="79"/>
      <c r="AH94" s="68"/>
      <c r="AI94" s="69"/>
      <c r="AJ94" s="80"/>
      <c r="AK94" s="19"/>
      <c r="AL94" s="19"/>
      <c r="AM94" s="19"/>
      <c r="AN94" s="19"/>
      <c r="AO94" s="19"/>
    </row>
    <row r="95" spans="1:41" x14ac:dyDescent="0.2">
      <c r="A95" s="47"/>
      <c r="B95" s="64"/>
      <c r="C95" s="47"/>
      <c r="D95" s="64"/>
      <c r="E95" s="64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19"/>
      <c r="AC95" s="19"/>
      <c r="AD95" s="76"/>
      <c r="AE95" s="78"/>
      <c r="AF95" s="77"/>
      <c r="AG95" s="79"/>
      <c r="AH95" s="68"/>
      <c r="AI95" s="69"/>
      <c r="AJ95" s="80"/>
      <c r="AK95" s="19"/>
      <c r="AL95" s="19"/>
      <c r="AM95" s="19"/>
      <c r="AN95" s="19"/>
      <c r="AO95" s="19"/>
    </row>
    <row r="96" spans="1:41" x14ac:dyDescent="0.2">
      <c r="A96" s="47"/>
      <c r="B96" s="64"/>
      <c r="C96" s="47"/>
      <c r="D96" s="64"/>
      <c r="E96" s="64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19"/>
      <c r="AC96" s="19"/>
      <c r="AD96" s="76"/>
      <c r="AE96" s="78"/>
      <c r="AF96" s="77"/>
      <c r="AG96" s="79"/>
      <c r="AH96" s="68"/>
      <c r="AI96" s="69"/>
      <c r="AJ96" s="80"/>
      <c r="AK96" s="19"/>
      <c r="AL96" s="19"/>
      <c r="AM96" s="19"/>
      <c r="AN96" s="19"/>
      <c r="AO96" s="19"/>
    </row>
    <row r="97" spans="1:41" x14ac:dyDescent="0.2">
      <c r="A97" s="47"/>
      <c r="B97" s="64"/>
      <c r="C97" s="47"/>
      <c r="D97" s="64"/>
      <c r="E97" s="64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19"/>
      <c r="AC97" s="19"/>
      <c r="AD97" s="76"/>
      <c r="AE97" s="78"/>
      <c r="AF97" s="77"/>
      <c r="AG97" s="79"/>
      <c r="AH97" s="68"/>
      <c r="AI97" s="69"/>
      <c r="AJ97" s="80"/>
      <c r="AK97" s="19"/>
      <c r="AL97" s="19"/>
      <c r="AM97" s="19"/>
      <c r="AN97" s="19"/>
      <c r="AO97" s="19"/>
    </row>
    <row r="98" spans="1:41" x14ac:dyDescent="0.2">
      <c r="A98" s="47"/>
      <c r="B98" s="64"/>
      <c r="C98" s="47"/>
      <c r="D98" s="64"/>
      <c r="E98" s="64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19"/>
      <c r="AC98" s="19"/>
      <c r="AD98" s="76"/>
      <c r="AE98" s="78"/>
      <c r="AF98" s="77"/>
      <c r="AG98" s="79"/>
      <c r="AH98" s="68"/>
      <c r="AI98" s="69"/>
      <c r="AJ98" s="80"/>
      <c r="AK98" s="19"/>
      <c r="AL98" s="19"/>
      <c r="AM98" s="19"/>
      <c r="AN98" s="19"/>
      <c r="AO98" s="19"/>
    </row>
    <row r="99" spans="1:41" x14ac:dyDescent="0.2">
      <c r="A99" s="47"/>
      <c r="B99" s="64"/>
      <c r="C99" s="47"/>
      <c r="D99" s="64"/>
      <c r="E99" s="64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19"/>
      <c r="AC99" s="19"/>
      <c r="AD99" s="76"/>
      <c r="AE99" s="78"/>
      <c r="AF99" s="77"/>
      <c r="AG99" s="79"/>
      <c r="AH99" s="68"/>
      <c r="AI99" s="69"/>
      <c r="AJ99" s="80"/>
      <c r="AK99" s="19"/>
      <c r="AL99" s="19"/>
      <c r="AM99" s="19"/>
      <c r="AN99" s="19"/>
      <c r="AO99" s="19"/>
    </row>
    <row r="100" spans="1:41" x14ac:dyDescent="0.2">
      <c r="A100" s="47"/>
      <c r="B100" s="64"/>
      <c r="C100" s="47"/>
      <c r="D100" s="64"/>
      <c r="E100" s="64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19"/>
      <c r="AC100" s="19"/>
      <c r="AD100" s="76"/>
      <c r="AE100" s="78"/>
      <c r="AF100" s="77"/>
      <c r="AG100" s="79"/>
      <c r="AH100" s="68"/>
      <c r="AI100" s="69"/>
      <c r="AJ100" s="80"/>
      <c r="AK100" s="19"/>
      <c r="AL100" s="19"/>
      <c r="AM100" s="19"/>
      <c r="AN100" s="19"/>
      <c r="AO100" s="19"/>
    </row>
    <row r="101" spans="1:41" x14ac:dyDescent="0.2">
      <c r="A101" s="47"/>
      <c r="B101" s="64"/>
      <c r="C101" s="47"/>
      <c r="D101" s="64"/>
      <c r="E101" s="64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19"/>
      <c r="AC101" s="19"/>
      <c r="AD101" s="76"/>
      <c r="AE101" s="78"/>
      <c r="AF101" s="77"/>
      <c r="AG101" s="79"/>
      <c r="AH101" s="68"/>
      <c r="AI101" s="69"/>
      <c r="AJ101" s="80"/>
      <c r="AK101" s="19"/>
      <c r="AL101" s="19"/>
      <c r="AM101" s="19"/>
      <c r="AN101" s="19"/>
      <c r="AO101" s="19"/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V65"/>
  <sheetViews>
    <sheetView zoomScale="70" zoomScaleNormal="70" zoomScalePageLayoutView="70" workbookViewId="0">
      <selection activeCell="I63" sqref="I63"/>
    </sheetView>
  </sheetViews>
  <sheetFormatPr defaultColWidth="12.875" defaultRowHeight="15" x14ac:dyDescent="0.2"/>
  <cols>
    <col min="1" max="1" width="5.375" style="2" customWidth="1"/>
    <col min="2" max="2" width="25.5" style="2" bestFit="1" customWidth="1"/>
    <col min="3" max="3" width="11.875" style="2" bestFit="1" customWidth="1"/>
    <col min="4" max="4" width="12.875" style="2"/>
    <col min="5" max="5" width="44.375" style="2" customWidth="1"/>
    <col min="6" max="6" width="35" style="2" customWidth="1"/>
    <col min="7" max="7" width="23.625" style="2" customWidth="1"/>
    <col min="8" max="8" width="12.875" style="2"/>
    <col min="9" max="9" width="22.5" style="2" customWidth="1"/>
    <col min="10" max="16384" width="12.875" style="2"/>
  </cols>
  <sheetData>
    <row r="1" spans="2:22" x14ac:dyDescent="0.2">
      <c r="B1" s="7" t="s">
        <v>26</v>
      </c>
      <c r="K1" s="7" t="s">
        <v>111</v>
      </c>
      <c r="P1" s="13" t="s">
        <v>120</v>
      </c>
      <c r="S1" s="2" t="s">
        <v>122</v>
      </c>
      <c r="V1" s="7" t="s">
        <v>129</v>
      </c>
    </row>
    <row r="2" spans="2:22" x14ac:dyDescent="0.2">
      <c r="B2" s="8" t="s">
        <v>27</v>
      </c>
      <c r="C2" s="8" t="s">
        <v>39</v>
      </c>
      <c r="D2" s="12" t="s">
        <v>41</v>
      </c>
      <c r="E2" s="8" t="s">
        <v>42</v>
      </c>
      <c r="F2" s="8" t="s">
        <v>40</v>
      </c>
      <c r="K2" s="8" t="s">
        <v>112</v>
      </c>
      <c r="L2" s="8" t="s">
        <v>113</v>
      </c>
      <c r="M2" s="8" t="s">
        <v>114</v>
      </c>
      <c r="N2" s="8" t="s">
        <v>115</v>
      </c>
      <c r="P2" s="12" t="s">
        <v>119</v>
      </c>
      <c r="Q2" s="8" t="s">
        <v>113</v>
      </c>
      <c r="S2" s="12" t="s">
        <v>123</v>
      </c>
      <c r="T2" s="12" t="s">
        <v>124</v>
      </c>
      <c r="V2" s="8" t="s">
        <v>129</v>
      </c>
    </row>
    <row r="3" spans="2:22" x14ac:dyDescent="0.2">
      <c r="B3" s="18"/>
      <c r="C3" s="18"/>
      <c r="D3" s="18"/>
      <c r="E3" s="19"/>
      <c r="F3" s="18"/>
      <c r="K3" s="6">
        <v>0</v>
      </c>
      <c r="L3" s="5">
        <v>0</v>
      </c>
      <c r="M3" s="5" t="s">
        <v>138</v>
      </c>
      <c r="N3" s="5" t="s">
        <v>116</v>
      </c>
      <c r="P3" s="14" t="s">
        <v>118</v>
      </c>
      <c r="Q3" s="14" t="s">
        <v>121</v>
      </c>
      <c r="S3" s="14" t="s">
        <v>36</v>
      </c>
      <c r="T3" s="14" t="s">
        <v>125</v>
      </c>
      <c r="V3" s="5" t="s">
        <v>22</v>
      </c>
    </row>
    <row r="4" spans="2:22" x14ac:dyDescent="0.2">
      <c r="B4" s="10"/>
      <c r="C4" s="10"/>
      <c r="D4" s="10"/>
      <c r="E4" s="11"/>
      <c r="F4" s="10"/>
      <c r="K4" s="45">
        <v>2.1000000000000001E-2</v>
      </c>
      <c r="L4" s="5">
        <v>2.1</v>
      </c>
      <c r="M4" s="5" t="s">
        <v>139</v>
      </c>
      <c r="N4" s="5" t="s">
        <v>132</v>
      </c>
      <c r="P4" s="44" t="s">
        <v>135</v>
      </c>
      <c r="Q4" s="5" t="s">
        <v>134</v>
      </c>
      <c r="S4" s="6"/>
      <c r="T4" s="5"/>
      <c r="V4" s="5" t="s">
        <v>140</v>
      </c>
    </row>
    <row r="5" spans="2:22" x14ac:dyDescent="0.2">
      <c r="B5" s="7" t="s">
        <v>29</v>
      </c>
      <c r="K5" s="6">
        <v>0.08</v>
      </c>
      <c r="L5" s="5">
        <v>8</v>
      </c>
      <c r="M5" s="5" t="s">
        <v>136</v>
      </c>
      <c r="N5" s="5" t="s">
        <v>117</v>
      </c>
      <c r="P5" s="6"/>
      <c r="Q5" s="5"/>
      <c r="S5" s="6"/>
      <c r="T5" s="5"/>
      <c r="V5" s="5" t="s">
        <v>141</v>
      </c>
    </row>
    <row r="6" spans="2:22" x14ac:dyDescent="0.2">
      <c r="B6" s="8" t="s">
        <v>31</v>
      </c>
      <c r="C6" s="8" t="s">
        <v>32</v>
      </c>
      <c r="D6" s="8" t="s">
        <v>30</v>
      </c>
      <c r="E6" s="8" t="s">
        <v>33</v>
      </c>
      <c r="F6" s="8" t="s">
        <v>34</v>
      </c>
      <c r="G6" s="8" t="s">
        <v>35</v>
      </c>
      <c r="K6" s="6">
        <v>0.1</v>
      </c>
      <c r="L6" s="5">
        <v>10</v>
      </c>
      <c r="M6" s="5" t="s">
        <v>137</v>
      </c>
      <c r="N6" s="5" t="s">
        <v>117</v>
      </c>
      <c r="P6" s="6"/>
      <c r="Q6" s="5"/>
      <c r="S6" s="6"/>
      <c r="T6" s="5"/>
      <c r="V6" s="5" t="s">
        <v>142</v>
      </c>
    </row>
    <row r="7" spans="2:22" x14ac:dyDescent="0.2">
      <c r="B7" s="18"/>
      <c r="C7" s="18"/>
      <c r="D7" s="18"/>
      <c r="E7" s="18"/>
      <c r="F7" s="18"/>
      <c r="G7" s="18"/>
      <c r="V7" s="5" t="s">
        <v>143</v>
      </c>
    </row>
    <row r="8" spans="2:22" x14ac:dyDescent="0.2">
      <c r="B8" s="18"/>
      <c r="C8" s="18"/>
      <c r="D8" s="18"/>
      <c r="E8" s="18"/>
      <c r="F8" s="18"/>
      <c r="G8" s="18"/>
      <c r="V8" s="5"/>
    </row>
    <row r="9" spans="2:22" x14ac:dyDescent="0.2">
      <c r="B9" s="18"/>
      <c r="C9" s="18"/>
      <c r="D9" s="18"/>
      <c r="E9" s="18"/>
      <c r="F9" s="18"/>
      <c r="G9" s="18"/>
      <c r="V9" s="5"/>
    </row>
    <row r="10" spans="2:22" x14ac:dyDescent="0.2">
      <c r="B10" s="18"/>
      <c r="C10" s="18"/>
      <c r="D10" s="18"/>
      <c r="E10" s="18"/>
      <c r="F10" s="18"/>
      <c r="G10" s="18"/>
      <c r="V10" s="5"/>
    </row>
    <row r="11" spans="2:22" x14ac:dyDescent="0.2">
      <c r="B11" s="18"/>
      <c r="C11" s="18"/>
      <c r="D11" s="18"/>
      <c r="E11" s="18"/>
      <c r="F11" s="18"/>
      <c r="G11" s="18"/>
      <c r="V11" s="5"/>
    </row>
    <row r="12" spans="2:22" x14ac:dyDescent="0.2">
      <c r="B12" s="18"/>
      <c r="C12" s="18"/>
      <c r="D12" s="18"/>
      <c r="E12" s="18"/>
      <c r="F12" s="18"/>
      <c r="G12" s="18"/>
      <c r="V12" s="5"/>
    </row>
    <row r="13" spans="2:22" x14ac:dyDescent="0.2">
      <c r="B13" s="18"/>
      <c r="C13" s="18"/>
      <c r="D13" s="18"/>
      <c r="E13" s="18"/>
      <c r="F13" s="18"/>
      <c r="G13" s="18"/>
      <c r="V13" s="5"/>
    </row>
    <row r="14" spans="2:22" x14ac:dyDescent="0.2">
      <c r="B14" s="18"/>
      <c r="C14" s="18"/>
      <c r="D14" s="18"/>
      <c r="E14" s="18"/>
      <c r="F14" s="18"/>
      <c r="G14" s="18"/>
      <c r="V14" s="5"/>
    </row>
    <row r="15" spans="2:22" x14ac:dyDescent="0.2">
      <c r="B15" s="10"/>
      <c r="C15" s="10"/>
      <c r="D15" s="10"/>
      <c r="E15" s="11"/>
      <c r="F15" s="10"/>
      <c r="V15" s="5"/>
    </row>
    <row r="16" spans="2:22" x14ac:dyDescent="0.2">
      <c r="B16" s="7" t="s">
        <v>28</v>
      </c>
      <c r="V16" s="5"/>
    </row>
    <row r="17" spans="2:22" x14ac:dyDescent="0.2">
      <c r="B17" s="8" t="s">
        <v>87</v>
      </c>
      <c r="C17" s="8" t="s">
        <v>89</v>
      </c>
      <c r="D17" s="8" t="s">
        <v>88</v>
      </c>
      <c r="E17" s="8" t="s">
        <v>90</v>
      </c>
      <c r="F17" s="8" t="s">
        <v>34</v>
      </c>
      <c r="G17" s="8" t="s">
        <v>91</v>
      </c>
      <c r="H17" s="8" t="s">
        <v>126</v>
      </c>
      <c r="I17" s="8" t="s">
        <v>86</v>
      </c>
      <c r="V17" s="5"/>
    </row>
    <row r="18" spans="2:22" x14ac:dyDescent="0.2">
      <c r="B18" s="20"/>
      <c r="C18" s="18"/>
      <c r="D18" s="18"/>
      <c r="E18" s="18"/>
      <c r="F18" s="18"/>
      <c r="G18" s="18"/>
      <c r="H18" s="18"/>
      <c r="I18" s="18"/>
    </row>
    <row r="19" spans="2:22" x14ac:dyDescent="0.2">
      <c r="B19" s="20"/>
      <c r="C19" s="18"/>
      <c r="D19" s="18"/>
      <c r="E19" s="18"/>
      <c r="F19" s="18"/>
      <c r="G19" s="18"/>
      <c r="H19" s="18"/>
      <c r="I19" s="18"/>
    </row>
    <row r="20" spans="2:22" x14ac:dyDescent="0.2">
      <c r="B20" s="20"/>
      <c r="C20" s="18"/>
      <c r="D20" s="18"/>
      <c r="E20" s="18"/>
      <c r="F20" s="18"/>
      <c r="G20" s="18"/>
      <c r="H20" s="18"/>
      <c r="I20" s="18"/>
    </row>
    <row r="21" spans="2:22" x14ac:dyDescent="0.2">
      <c r="B21" s="20"/>
      <c r="C21" s="18"/>
      <c r="D21" s="18"/>
      <c r="E21" s="18"/>
      <c r="F21" s="18"/>
      <c r="G21" s="18"/>
      <c r="H21" s="18"/>
      <c r="I21" s="18"/>
    </row>
    <row r="22" spans="2:22" x14ac:dyDescent="0.2">
      <c r="B22" s="20"/>
      <c r="C22" s="18"/>
      <c r="D22" s="18"/>
      <c r="E22" s="18"/>
      <c r="F22" s="18"/>
      <c r="G22" s="18"/>
      <c r="H22" s="18"/>
      <c r="I22" s="18"/>
    </row>
    <row r="23" spans="2:22" x14ac:dyDescent="0.2">
      <c r="B23" s="20"/>
      <c r="C23" s="18"/>
      <c r="D23" s="18"/>
      <c r="E23" s="18"/>
      <c r="F23" s="18"/>
      <c r="G23" s="18"/>
      <c r="H23" s="18"/>
      <c r="I23" s="18"/>
    </row>
    <row r="24" spans="2:22" x14ac:dyDescent="0.2">
      <c r="B24" s="20"/>
      <c r="C24" s="18"/>
      <c r="D24" s="18"/>
      <c r="E24" s="18"/>
      <c r="F24" s="18"/>
      <c r="G24" s="18"/>
      <c r="H24" s="18"/>
      <c r="I24" s="18"/>
    </row>
    <row r="25" spans="2:22" x14ac:dyDescent="0.2">
      <c r="B25" s="20"/>
      <c r="C25" s="18"/>
      <c r="D25" s="18"/>
      <c r="E25" s="18"/>
      <c r="F25" s="18"/>
      <c r="G25" s="18"/>
      <c r="H25" s="18"/>
      <c r="I25" s="18"/>
    </row>
    <row r="26" spans="2:22" x14ac:dyDescent="0.2">
      <c r="B26" s="20"/>
      <c r="C26" s="18"/>
      <c r="D26" s="18"/>
      <c r="E26" s="18"/>
      <c r="F26" s="18"/>
      <c r="G26" s="18"/>
      <c r="H26" s="18"/>
      <c r="I26" s="18"/>
    </row>
    <row r="27" spans="2:22" x14ac:dyDescent="0.2">
      <c r="B27" s="20"/>
      <c r="C27" s="18"/>
      <c r="D27" s="18"/>
      <c r="E27" s="18"/>
      <c r="F27" s="18"/>
      <c r="G27" s="18"/>
      <c r="H27" s="18"/>
      <c r="I27" s="18"/>
    </row>
    <row r="28" spans="2:22" x14ac:dyDescent="0.2">
      <c r="B28" s="20"/>
      <c r="C28" s="18"/>
      <c r="D28" s="18"/>
      <c r="E28" s="18"/>
      <c r="F28" s="18"/>
      <c r="G28" s="18"/>
      <c r="H28" s="18"/>
      <c r="I28" s="18"/>
    </row>
    <row r="29" spans="2:22" x14ac:dyDescent="0.2">
      <c r="B29" s="20"/>
      <c r="C29" s="18"/>
      <c r="D29" s="18"/>
      <c r="E29" s="18"/>
      <c r="F29" s="18"/>
      <c r="G29" s="18"/>
      <c r="H29" s="18"/>
      <c r="I29" s="18"/>
    </row>
    <row r="30" spans="2:22" x14ac:dyDescent="0.2">
      <c r="B30" s="20"/>
      <c r="C30" s="18"/>
      <c r="D30" s="18"/>
      <c r="E30" s="18"/>
      <c r="F30" s="18"/>
      <c r="G30" s="18"/>
      <c r="H30" s="18"/>
      <c r="I30" s="18"/>
    </row>
    <row r="31" spans="2:22" x14ac:dyDescent="0.2">
      <c r="B31" s="20"/>
      <c r="C31" s="18"/>
      <c r="D31" s="18"/>
      <c r="E31" s="18"/>
      <c r="F31" s="18"/>
      <c r="G31" s="18"/>
      <c r="H31" s="18"/>
      <c r="I31" s="18"/>
    </row>
    <row r="32" spans="2:22" x14ac:dyDescent="0.2">
      <c r="B32" s="20"/>
      <c r="C32" s="18"/>
      <c r="D32" s="18"/>
      <c r="E32" s="18"/>
      <c r="F32" s="18"/>
      <c r="G32" s="18"/>
      <c r="H32" s="18"/>
      <c r="I32" s="18"/>
    </row>
    <row r="33" spans="2:9" x14ac:dyDescent="0.2">
      <c r="B33" s="20"/>
      <c r="C33" s="18"/>
      <c r="D33" s="18"/>
      <c r="E33" s="18"/>
      <c r="F33" s="18"/>
      <c r="G33" s="18"/>
      <c r="H33" s="18"/>
      <c r="I33" s="18"/>
    </row>
    <row r="34" spans="2:9" x14ac:dyDescent="0.2">
      <c r="B34" s="20"/>
      <c r="C34" s="18"/>
      <c r="D34" s="18"/>
      <c r="E34" s="18"/>
      <c r="F34" s="18"/>
      <c r="G34" s="18"/>
      <c r="H34" s="18"/>
      <c r="I34" s="18"/>
    </row>
    <row r="35" spans="2:9" x14ac:dyDescent="0.2">
      <c r="B35" s="20"/>
      <c r="C35" s="18"/>
      <c r="D35" s="18"/>
      <c r="E35" s="18"/>
      <c r="F35" s="18"/>
      <c r="G35" s="18"/>
      <c r="H35" s="18"/>
      <c r="I35" s="18"/>
    </row>
    <row r="36" spans="2:9" x14ac:dyDescent="0.2">
      <c r="B36" s="20"/>
      <c r="C36" s="18"/>
      <c r="D36" s="18"/>
      <c r="E36" s="18"/>
      <c r="F36" s="18"/>
      <c r="G36" s="18"/>
      <c r="H36" s="18"/>
      <c r="I36" s="18"/>
    </row>
    <row r="37" spans="2:9" x14ac:dyDescent="0.2">
      <c r="B37" s="20"/>
      <c r="C37" s="18"/>
      <c r="D37" s="18"/>
      <c r="E37" s="18"/>
      <c r="F37" s="18"/>
      <c r="G37" s="18"/>
      <c r="H37" s="18"/>
      <c r="I37" s="18"/>
    </row>
    <row r="38" spans="2:9" x14ac:dyDescent="0.2">
      <c r="B38" s="20"/>
      <c r="C38" s="18"/>
      <c r="D38" s="18"/>
      <c r="E38" s="18"/>
      <c r="F38" s="18"/>
      <c r="G38" s="18"/>
      <c r="H38" s="18"/>
      <c r="I38" s="18"/>
    </row>
    <row r="39" spans="2:9" x14ac:dyDescent="0.2">
      <c r="B39" s="20"/>
      <c r="C39" s="18"/>
      <c r="D39" s="18"/>
      <c r="E39" s="18"/>
      <c r="F39" s="18"/>
      <c r="G39" s="18"/>
      <c r="H39" s="18"/>
      <c r="I39" s="18"/>
    </row>
    <row r="40" spans="2:9" x14ac:dyDescent="0.2">
      <c r="B40" s="20"/>
      <c r="C40" s="18"/>
      <c r="D40" s="18"/>
      <c r="E40" s="18"/>
      <c r="F40" s="18"/>
      <c r="G40" s="18"/>
      <c r="H40" s="18"/>
      <c r="I40" s="18"/>
    </row>
    <row r="41" spans="2:9" x14ac:dyDescent="0.2">
      <c r="B41" s="20"/>
      <c r="C41" s="18"/>
      <c r="D41" s="18"/>
      <c r="E41" s="18"/>
      <c r="F41" s="18"/>
      <c r="G41" s="18"/>
      <c r="H41" s="18"/>
      <c r="I41" s="18"/>
    </row>
    <row r="42" spans="2:9" x14ac:dyDescent="0.2">
      <c r="B42" s="20"/>
      <c r="C42" s="18"/>
      <c r="D42" s="18"/>
      <c r="E42" s="18"/>
      <c r="F42" s="18"/>
      <c r="G42" s="18"/>
      <c r="H42" s="18"/>
      <c r="I42" s="18"/>
    </row>
    <row r="43" spans="2:9" x14ac:dyDescent="0.2">
      <c r="B43" s="20"/>
      <c r="C43" s="18"/>
      <c r="D43" s="18"/>
      <c r="E43" s="18"/>
      <c r="F43" s="18"/>
      <c r="G43" s="18"/>
      <c r="H43" s="18"/>
      <c r="I43" s="18"/>
    </row>
    <row r="44" spans="2:9" x14ac:dyDescent="0.2">
      <c r="B44" s="20"/>
      <c r="C44" s="18"/>
      <c r="D44" s="18"/>
      <c r="E44" s="18"/>
      <c r="F44" s="18"/>
      <c r="G44" s="18"/>
      <c r="H44" s="18"/>
      <c r="I44" s="18"/>
    </row>
    <row r="45" spans="2:9" x14ac:dyDescent="0.2">
      <c r="B45" s="20"/>
      <c r="C45" s="18"/>
      <c r="D45" s="18"/>
      <c r="E45" s="18"/>
      <c r="F45" s="18"/>
      <c r="G45" s="18"/>
      <c r="H45" s="18"/>
      <c r="I45" s="18"/>
    </row>
    <row r="46" spans="2:9" x14ac:dyDescent="0.2">
      <c r="B46" s="20"/>
      <c r="C46" s="18"/>
      <c r="D46" s="18"/>
      <c r="E46" s="18"/>
      <c r="F46" s="18"/>
      <c r="G46" s="18"/>
      <c r="H46" s="18"/>
      <c r="I46" s="18"/>
    </row>
    <row r="47" spans="2:9" x14ac:dyDescent="0.2">
      <c r="B47" s="20"/>
      <c r="C47" s="18"/>
      <c r="D47" s="18"/>
      <c r="E47" s="18"/>
      <c r="F47" s="18"/>
      <c r="G47" s="18"/>
      <c r="H47" s="18"/>
      <c r="I47" s="18"/>
    </row>
    <row r="48" spans="2:9" x14ac:dyDescent="0.2">
      <c r="B48" s="20"/>
      <c r="C48" s="18"/>
      <c r="D48" s="18"/>
      <c r="E48" s="18"/>
      <c r="F48" s="18"/>
      <c r="G48" s="18"/>
      <c r="H48" s="18"/>
      <c r="I48" s="18"/>
    </row>
    <row r="49" spans="2:9" x14ac:dyDescent="0.2">
      <c r="B49" s="20"/>
      <c r="C49" s="18"/>
      <c r="D49" s="18"/>
      <c r="E49" s="18"/>
      <c r="F49" s="18"/>
      <c r="G49" s="18"/>
      <c r="H49" s="18"/>
      <c r="I49" s="18"/>
    </row>
    <row r="50" spans="2:9" x14ac:dyDescent="0.2">
      <c r="B50" s="20"/>
      <c r="C50" s="18"/>
      <c r="D50" s="18"/>
      <c r="E50" s="18"/>
      <c r="F50" s="18"/>
      <c r="G50" s="18"/>
      <c r="H50" s="18"/>
      <c r="I50" s="18"/>
    </row>
    <row r="51" spans="2:9" x14ac:dyDescent="0.2">
      <c r="B51" s="20"/>
      <c r="C51" s="18"/>
      <c r="D51" s="18"/>
      <c r="E51" s="18"/>
      <c r="F51" s="18"/>
      <c r="G51" s="18"/>
      <c r="H51" s="18"/>
      <c r="I51" s="18"/>
    </row>
    <row r="52" spans="2:9" x14ac:dyDescent="0.2">
      <c r="B52" s="20"/>
      <c r="C52" s="18"/>
      <c r="D52" s="18"/>
      <c r="E52" s="18"/>
      <c r="F52" s="18"/>
      <c r="G52" s="18"/>
      <c r="H52" s="18"/>
      <c r="I52" s="18"/>
    </row>
    <row r="53" spans="2:9" x14ac:dyDescent="0.2">
      <c r="B53" s="20"/>
      <c r="C53" s="18"/>
      <c r="D53" s="18"/>
      <c r="E53" s="18"/>
      <c r="F53" s="18"/>
      <c r="G53" s="18"/>
      <c r="H53" s="18"/>
      <c r="I53" s="18"/>
    </row>
    <row r="54" spans="2:9" x14ac:dyDescent="0.2">
      <c r="B54" s="20"/>
      <c r="C54" s="18"/>
      <c r="D54" s="18"/>
      <c r="E54" s="18"/>
      <c r="F54" s="18"/>
      <c r="G54" s="18"/>
      <c r="H54" s="18"/>
      <c r="I54" s="18"/>
    </row>
    <row r="55" spans="2:9" x14ac:dyDescent="0.2">
      <c r="B55" s="20"/>
      <c r="C55" s="18"/>
      <c r="D55" s="18"/>
      <c r="E55" s="18"/>
      <c r="F55" s="18"/>
      <c r="G55" s="18"/>
      <c r="H55" s="18"/>
      <c r="I55" s="18"/>
    </row>
    <row r="56" spans="2:9" x14ac:dyDescent="0.2">
      <c r="B56" s="20"/>
      <c r="C56" s="18"/>
      <c r="D56" s="18"/>
      <c r="E56" s="18"/>
      <c r="F56" s="18"/>
      <c r="G56" s="18"/>
      <c r="H56" s="18"/>
      <c r="I56" s="18"/>
    </row>
    <row r="57" spans="2:9" x14ac:dyDescent="0.2">
      <c r="B57" s="20"/>
      <c r="C57" s="18"/>
      <c r="D57" s="18"/>
      <c r="E57" s="18"/>
      <c r="F57" s="18"/>
      <c r="G57" s="18"/>
      <c r="H57" s="18"/>
      <c r="I57" s="18"/>
    </row>
    <row r="58" spans="2:9" x14ac:dyDescent="0.2">
      <c r="B58" s="20"/>
      <c r="C58" s="18"/>
      <c r="D58" s="18"/>
      <c r="E58" s="18"/>
      <c r="F58" s="18"/>
      <c r="G58" s="18"/>
      <c r="H58" s="18"/>
      <c r="I58" s="18"/>
    </row>
    <row r="59" spans="2:9" x14ac:dyDescent="0.2">
      <c r="B59" s="20"/>
      <c r="C59" s="18"/>
      <c r="D59" s="18"/>
      <c r="E59" s="18"/>
      <c r="F59" s="18"/>
      <c r="G59" s="18"/>
      <c r="H59" s="18"/>
      <c r="I59" s="18"/>
    </row>
    <row r="60" spans="2:9" x14ac:dyDescent="0.2">
      <c r="B60" s="20"/>
      <c r="C60" s="18"/>
      <c r="D60" s="18"/>
      <c r="E60" s="18"/>
      <c r="F60" s="18"/>
      <c r="G60" s="18"/>
      <c r="H60" s="18"/>
      <c r="I60" s="18"/>
    </row>
    <row r="61" spans="2:9" x14ac:dyDescent="0.2">
      <c r="B61" s="20"/>
      <c r="C61" s="18"/>
      <c r="D61" s="18"/>
      <c r="E61" s="18"/>
      <c r="F61" s="18"/>
      <c r="G61" s="18"/>
      <c r="H61" s="18"/>
      <c r="I61" s="18"/>
    </row>
    <row r="62" spans="2:9" x14ac:dyDescent="0.2">
      <c r="B62" s="20"/>
      <c r="C62" s="18"/>
      <c r="D62" s="18"/>
      <c r="E62" s="18"/>
      <c r="F62" s="18"/>
      <c r="G62" s="18"/>
      <c r="H62" s="18"/>
      <c r="I62" s="18"/>
    </row>
    <row r="63" spans="2:9" x14ac:dyDescent="0.2">
      <c r="B63" s="20"/>
      <c r="C63" s="18"/>
      <c r="D63" s="18"/>
      <c r="E63" s="18"/>
      <c r="F63" s="18"/>
      <c r="G63" s="18"/>
      <c r="H63" s="18"/>
      <c r="I63" s="18"/>
    </row>
    <row r="64" spans="2:9" x14ac:dyDescent="0.2">
      <c r="B64" s="20"/>
      <c r="C64" s="18"/>
      <c r="D64" s="18"/>
      <c r="E64" s="18"/>
      <c r="F64" s="18"/>
      <c r="G64" s="18"/>
      <c r="H64" s="18"/>
      <c r="I64" s="18"/>
    </row>
    <row r="65" spans="2:9" x14ac:dyDescent="0.2">
      <c r="B65" s="20"/>
      <c r="C65" s="18"/>
      <c r="D65" s="18"/>
      <c r="E65" s="18"/>
      <c r="F65" s="18"/>
      <c r="G65" s="18"/>
      <c r="H65" s="18"/>
      <c r="I65" s="18"/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43"/>
  <sheetViews>
    <sheetView workbookViewId="0">
      <selection activeCell="D8" sqref="D8"/>
    </sheetView>
  </sheetViews>
  <sheetFormatPr defaultColWidth="12.875" defaultRowHeight="15" x14ac:dyDescent="0.2"/>
  <cols>
    <col min="1" max="1" width="4.875" style="2" customWidth="1"/>
    <col min="2" max="2" width="5.375" style="2" customWidth="1"/>
    <col min="3" max="3" width="29.875" style="2" bestFit="1" customWidth="1"/>
    <col min="4" max="4" width="52.5" style="2" bestFit="1" customWidth="1"/>
    <col min="5" max="16384" width="12.875" style="2"/>
  </cols>
  <sheetData>
    <row r="2" spans="2:4" x14ac:dyDescent="0.2">
      <c r="B2" s="7" t="s">
        <v>74</v>
      </c>
    </row>
    <row r="3" spans="2:4" x14ac:dyDescent="0.2">
      <c r="C3" s="4" t="s">
        <v>4</v>
      </c>
      <c r="D3" s="4" t="s">
        <v>5</v>
      </c>
    </row>
    <row r="4" spans="2:4" x14ac:dyDescent="0.2">
      <c r="C4" s="3" t="s">
        <v>13</v>
      </c>
      <c r="D4" s="16" t="s">
        <v>14</v>
      </c>
    </row>
    <row r="5" spans="2:4" x14ac:dyDescent="0.2">
      <c r="C5" s="3" t="s">
        <v>15</v>
      </c>
      <c r="D5" s="17" t="s">
        <v>110</v>
      </c>
    </row>
    <row r="6" spans="2:4" x14ac:dyDescent="0.2">
      <c r="C6" s="3" t="s">
        <v>0</v>
      </c>
      <c r="D6" s="16" t="s">
        <v>2</v>
      </c>
    </row>
    <row r="7" spans="2:4" x14ac:dyDescent="0.2">
      <c r="C7" s="3" t="s">
        <v>1</v>
      </c>
      <c r="D7" s="16" t="s">
        <v>3</v>
      </c>
    </row>
    <row r="8" spans="2:4" x14ac:dyDescent="0.2">
      <c r="C8" s="3" t="s">
        <v>6</v>
      </c>
      <c r="D8" s="16"/>
    </row>
    <row r="9" spans="2:4" x14ac:dyDescent="0.2">
      <c r="C9" s="3" t="s">
        <v>7</v>
      </c>
      <c r="D9" s="16"/>
    </row>
    <row r="10" spans="2:4" x14ac:dyDescent="0.2">
      <c r="C10" s="3" t="s">
        <v>8</v>
      </c>
      <c r="D10" s="16"/>
    </row>
    <row r="11" spans="2:4" x14ac:dyDescent="0.2">
      <c r="C11" s="3" t="s">
        <v>9</v>
      </c>
      <c r="D11" s="16" t="s">
        <v>11</v>
      </c>
    </row>
    <row r="12" spans="2:4" x14ac:dyDescent="0.2">
      <c r="C12" s="3" t="s">
        <v>10</v>
      </c>
      <c r="D12" s="16" t="s">
        <v>12</v>
      </c>
    </row>
    <row r="13" spans="2:4" x14ac:dyDescent="0.2">
      <c r="C13" s="3" t="s">
        <v>128</v>
      </c>
      <c r="D13" s="16">
        <v>42</v>
      </c>
    </row>
    <row r="14" spans="2:4" x14ac:dyDescent="0.2">
      <c r="C14" s="3"/>
      <c r="D14" s="16"/>
    </row>
    <row r="16" spans="2:4" x14ac:dyDescent="0.2">
      <c r="B16" s="7" t="s">
        <v>75</v>
      </c>
    </row>
    <row r="17" spans="3:4" x14ac:dyDescent="0.2">
      <c r="C17" s="4" t="s">
        <v>4</v>
      </c>
      <c r="D17" s="4" t="s">
        <v>5</v>
      </c>
    </row>
    <row r="18" spans="3:4" x14ac:dyDescent="0.2">
      <c r="C18" s="3" t="s">
        <v>241</v>
      </c>
      <c r="D18" s="18" t="s">
        <v>76</v>
      </c>
    </row>
    <row r="19" spans="3:4" x14ac:dyDescent="0.2">
      <c r="C19" s="3" t="s">
        <v>240</v>
      </c>
      <c r="D19" s="18" t="s">
        <v>77</v>
      </c>
    </row>
    <row r="20" spans="3:4" x14ac:dyDescent="0.2">
      <c r="C20" s="3" t="s">
        <v>229</v>
      </c>
      <c r="D20" s="18" t="s">
        <v>78</v>
      </c>
    </row>
    <row r="21" spans="3:4" x14ac:dyDescent="0.2">
      <c r="C21" s="3" t="s">
        <v>230</v>
      </c>
      <c r="D21" s="18" t="s">
        <v>145</v>
      </c>
    </row>
    <row r="22" spans="3:4" x14ac:dyDescent="0.2">
      <c r="C22" s="3" t="s">
        <v>231</v>
      </c>
      <c r="D22" s="18" t="s">
        <v>146</v>
      </c>
    </row>
    <row r="23" spans="3:4" x14ac:dyDescent="0.2">
      <c r="C23" s="3" t="s">
        <v>232</v>
      </c>
      <c r="D23" s="18" t="s">
        <v>245</v>
      </c>
    </row>
    <row r="24" spans="3:4" x14ac:dyDescent="0.2">
      <c r="C24" s="3" t="s">
        <v>242</v>
      </c>
      <c r="D24" s="18" t="s">
        <v>246</v>
      </c>
    </row>
    <row r="25" spans="3:4" x14ac:dyDescent="0.2">
      <c r="C25" s="3" t="s">
        <v>233</v>
      </c>
      <c r="D25" s="18" t="s">
        <v>247</v>
      </c>
    </row>
    <row r="26" spans="3:4" x14ac:dyDescent="0.2">
      <c r="C26" s="3" t="s">
        <v>234</v>
      </c>
      <c r="D26" s="18" t="s">
        <v>248</v>
      </c>
    </row>
    <row r="27" spans="3:4" x14ac:dyDescent="0.2">
      <c r="C27" s="3" t="s">
        <v>235</v>
      </c>
      <c r="D27" s="16" t="s">
        <v>249</v>
      </c>
    </row>
    <row r="28" spans="3:4" x14ac:dyDescent="0.2">
      <c r="C28" s="3" t="s">
        <v>236</v>
      </c>
      <c r="D28" s="18" t="s">
        <v>250</v>
      </c>
    </row>
    <row r="29" spans="3:4" x14ac:dyDescent="0.2">
      <c r="C29" s="3" t="s">
        <v>239</v>
      </c>
      <c r="D29" s="16" t="s">
        <v>251</v>
      </c>
    </row>
    <row r="30" spans="3:4" x14ac:dyDescent="0.2">
      <c r="C30" s="3" t="s">
        <v>237</v>
      </c>
      <c r="D30" s="18" t="s">
        <v>252</v>
      </c>
    </row>
    <row r="31" spans="3:4" x14ac:dyDescent="0.2">
      <c r="C31" s="3" t="s">
        <v>238</v>
      </c>
      <c r="D31" s="18" t="s">
        <v>253</v>
      </c>
    </row>
    <row r="32" spans="3:4" x14ac:dyDescent="0.2">
      <c r="C32" s="3" t="s">
        <v>243</v>
      </c>
      <c r="D32" s="18" t="s">
        <v>254</v>
      </c>
    </row>
    <row r="33" spans="3:4" x14ac:dyDescent="0.2">
      <c r="C33" s="3" t="s">
        <v>244</v>
      </c>
      <c r="D33" s="18" t="s">
        <v>255</v>
      </c>
    </row>
    <row r="34" spans="3:4" x14ac:dyDescent="0.2">
      <c r="C34" s="3" t="s">
        <v>264</v>
      </c>
      <c r="D34" s="18" t="s">
        <v>268</v>
      </c>
    </row>
    <row r="35" spans="3:4" x14ac:dyDescent="0.2">
      <c r="C35" s="3" t="s">
        <v>265</v>
      </c>
      <c r="D35" s="18" t="s">
        <v>269</v>
      </c>
    </row>
    <row r="36" spans="3:4" x14ac:dyDescent="0.2">
      <c r="C36" s="3" t="s">
        <v>267</v>
      </c>
      <c r="D36" s="18" t="s">
        <v>270</v>
      </c>
    </row>
    <row r="37" spans="3:4" x14ac:dyDescent="0.2">
      <c r="C37" s="3" t="s">
        <v>266</v>
      </c>
      <c r="D37" s="18" t="s">
        <v>271</v>
      </c>
    </row>
    <row r="38" spans="3:4" x14ac:dyDescent="0.2">
      <c r="C38" s="3" t="s">
        <v>272</v>
      </c>
      <c r="D38" s="18" t="s">
        <v>273</v>
      </c>
    </row>
    <row r="39" spans="3:4" x14ac:dyDescent="0.2">
      <c r="C39" s="3" t="s">
        <v>274</v>
      </c>
      <c r="D39" s="18" t="s">
        <v>274</v>
      </c>
    </row>
    <row r="40" spans="3:4" x14ac:dyDescent="0.2">
      <c r="C40" s="3" t="s">
        <v>275</v>
      </c>
      <c r="D40" s="18" t="s">
        <v>276</v>
      </c>
    </row>
    <row r="41" spans="3:4" x14ac:dyDescent="0.2">
      <c r="C41" s="3" t="s">
        <v>277</v>
      </c>
      <c r="D41" s="18" t="s">
        <v>278</v>
      </c>
    </row>
    <row r="42" spans="3:4" x14ac:dyDescent="0.2">
      <c r="C42" s="3" t="s">
        <v>279</v>
      </c>
      <c r="D42" s="18" t="s">
        <v>280</v>
      </c>
    </row>
    <row r="43" spans="3:4" x14ac:dyDescent="0.2">
      <c r="C43" s="3" t="s">
        <v>281</v>
      </c>
      <c r="D43" s="18" t="s">
        <v>282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74"/>
  <sheetViews>
    <sheetView topLeftCell="A256" workbookViewId="0">
      <selection sqref="A1:XFD1048576"/>
    </sheetView>
  </sheetViews>
  <sheetFormatPr defaultColWidth="13" defaultRowHeight="14.25" x14ac:dyDescent="0.15"/>
  <sheetData>
    <row r="1" spans="1:1" x14ac:dyDescent="0.15">
      <c r="A1" t="s">
        <v>148</v>
      </c>
    </row>
    <row r="2" spans="1:1" x14ac:dyDescent="0.15">
      <c r="A2" t="s">
        <v>149</v>
      </c>
    </row>
    <row r="3" spans="1:1" x14ac:dyDescent="0.15">
      <c r="A3" t="s">
        <v>150</v>
      </c>
    </row>
    <row r="4" spans="1:1" x14ac:dyDescent="0.15">
      <c r="A4" t="s">
        <v>151</v>
      </c>
    </row>
    <row r="5" spans="1:1" x14ac:dyDescent="0.15">
      <c r="A5" t="s">
        <v>152</v>
      </c>
    </row>
    <row r="6" spans="1:1" x14ac:dyDescent="0.15">
      <c r="A6" t="s">
        <v>340</v>
      </c>
    </row>
    <row r="7" spans="1:1" x14ac:dyDescent="0.15">
      <c r="A7" t="s">
        <v>283</v>
      </c>
    </row>
    <row r="8" spans="1:1" x14ac:dyDescent="0.15">
      <c r="A8" t="s">
        <v>153</v>
      </c>
    </row>
    <row r="9" spans="1:1" x14ac:dyDescent="0.15">
      <c r="A9" t="s">
        <v>327</v>
      </c>
    </row>
    <row r="10" spans="1:1" x14ac:dyDescent="0.15">
      <c r="A10" t="s">
        <v>154</v>
      </c>
    </row>
    <row r="11" spans="1:1" x14ac:dyDescent="0.15">
      <c r="A11" t="s">
        <v>155</v>
      </c>
    </row>
    <row r="12" spans="1:1" x14ac:dyDescent="0.15">
      <c r="A12" t="s">
        <v>156</v>
      </c>
    </row>
    <row r="13" spans="1:1" x14ac:dyDescent="0.15">
      <c r="A13" t="s">
        <v>157</v>
      </c>
    </row>
    <row r="14" spans="1:1" x14ac:dyDescent="0.15">
      <c r="A14" t="s">
        <v>158</v>
      </c>
    </row>
    <row r="15" spans="1:1" x14ac:dyDescent="0.15">
      <c r="A15" t="s">
        <v>159</v>
      </c>
    </row>
    <row r="16" spans="1:1" x14ac:dyDescent="0.15">
      <c r="A16" t="s">
        <v>160</v>
      </c>
    </row>
    <row r="17" spans="1:1" x14ac:dyDescent="0.15">
      <c r="A17" t="s">
        <v>161</v>
      </c>
    </row>
    <row r="18" spans="1:1" x14ac:dyDescent="0.15">
      <c r="A18" t="s">
        <v>162</v>
      </c>
    </row>
    <row r="19" spans="1:1" x14ac:dyDescent="0.15">
      <c r="A19" t="s">
        <v>163</v>
      </c>
    </row>
    <row r="20" spans="1:1" x14ac:dyDescent="0.15">
      <c r="A20" t="s">
        <v>164</v>
      </c>
    </row>
    <row r="21" spans="1:1" x14ac:dyDescent="0.15">
      <c r="A21" t="s">
        <v>165</v>
      </c>
    </row>
    <row r="22" spans="1:1" x14ac:dyDescent="0.15">
      <c r="A22" t="s">
        <v>166</v>
      </c>
    </row>
    <row r="23" spans="1:1" x14ac:dyDescent="0.15">
      <c r="A23" t="s">
        <v>167</v>
      </c>
    </row>
    <row r="24" spans="1:1" x14ac:dyDescent="0.15">
      <c r="A24" t="s">
        <v>168</v>
      </c>
    </row>
    <row r="25" spans="1:1" x14ac:dyDescent="0.15">
      <c r="A25" t="s">
        <v>169</v>
      </c>
    </row>
    <row r="26" spans="1:1" x14ac:dyDescent="0.15">
      <c r="A26" t="s">
        <v>170</v>
      </c>
    </row>
    <row r="27" spans="1:1" x14ac:dyDescent="0.15">
      <c r="A27" t="s">
        <v>171</v>
      </c>
    </row>
    <row r="28" spans="1:1" x14ac:dyDescent="0.15">
      <c r="A28" t="s">
        <v>172</v>
      </c>
    </row>
    <row r="29" spans="1:1" x14ac:dyDescent="0.15">
      <c r="A29" t="s">
        <v>173</v>
      </c>
    </row>
    <row r="30" spans="1:1" x14ac:dyDescent="0.15">
      <c r="A30" t="s">
        <v>174</v>
      </c>
    </row>
    <row r="31" spans="1:1" x14ac:dyDescent="0.15">
      <c r="A31" t="s">
        <v>175</v>
      </c>
    </row>
    <row r="32" spans="1:1" x14ac:dyDescent="0.15">
      <c r="A32" t="s">
        <v>176</v>
      </c>
    </row>
    <row r="33" spans="1:1" x14ac:dyDescent="0.15">
      <c r="A33" t="s">
        <v>177</v>
      </c>
    </row>
    <row r="34" spans="1:1" x14ac:dyDescent="0.15">
      <c r="A34" t="s">
        <v>178</v>
      </c>
    </row>
    <row r="35" spans="1:1" x14ac:dyDescent="0.15">
      <c r="A35" t="s">
        <v>179</v>
      </c>
    </row>
    <row r="36" spans="1:1" x14ac:dyDescent="0.15">
      <c r="A36" t="s">
        <v>180</v>
      </c>
    </row>
    <row r="37" spans="1:1" x14ac:dyDescent="0.15">
      <c r="A37" t="s">
        <v>160</v>
      </c>
    </row>
    <row r="38" spans="1:1" x14ac:dyDescent="0.15">
      <c r="A38" t="s">
        <v>161</v>
      </c>
    </row>
    <row r="39" spans="1:1" x14ac:dyDescent="0.15">
      <c r="A39" t="s">
        <v>181</v>
      </c>
    </row>
    <row r="40" spans="1:1" x14ac:dyDescent="0.15">
      <c r="A40" t="s">
        <v>163</v>
      </c>
    </row>
    <row r="41" spans="1:1" x14ac:dyDescent="0.15">
      <c r="A41" t="s">
        <v>164</v>
      </c>
    </row>
    <row r="42" spans="1:1" x14ac:dyDescent="0.15">
      <c r="A42" t="s">
        <v>182</v>
      </c>
    </row>
    <row r="43" spans="1:1" x14ac:dyDescent="0.15">
      <c r="A43" t="s">
        <v>166</v>
      </c>
    </row>
    <row r="44" spans="1:1" x14ac:dyDescent="0.15">
      <c r="A44" t="s">
        <v>167</v>
      </c>
    </row>
    <row r="45" spans="1:1" x14ac:dyDescent="0.15">
      <c r="A45" t="s">
        <v>168</v>
      </c>
    </row>
    <row r="46" spans="1:1" x14ac:dyDescent="0.15">
      <c r="A46" t="s">
        <v>183</v>
      </c>
    </row>
    <row r="47" spans="1:1" x14ac:dyDescent="0.15">
      <c r="A47" t="s">
        <v>172</v>
      </c>
    </row>
    <row r="48" spans="1:1" x14ac:dyDescent="0.15">
      <c r="A48" t="s">
        <v>184</v>
      </c>
    </row>
    <row r="49" spans="1:1" x14ac:dyDescent="0.15">
      <c r="A49" t="s">
        <v>174</v>
      </c>
    </row>
    <row r="50" spans="1:1" x14ac:dyDescent="0.15">
      <c r="A50" t="s">
        <v>175</v>
      </c>
    </row>
    <row r="51" spans="1:1" x14ac:dyDescent="0.15">
      <c r="A51" t="s">
        <v>176</v>
      </c>
    </row>
    <row r="52" spans="1:1" x14ac:dyDescent="0.15">
      <c r="A52" t="s">
        <v>177</v>
      </c>
    </row>
    <row r="53" spans="1:1" x14ac:dyDescent="0.15">
      <c r="A53" t="s">
        <v>185</v>
      </c>
    </row>
    <row r="54" spans="1:1" x14ac:dyDescent="0.15">
      <c r="A54" t="s">
        <v>186</v>
      </c>
    </row>
    <row r="55" spans="1:1" x14ac:dyDescent="0.15">
      <c r="A55" t="s">
        <v>187</v>
      </c>
    </row>
    <row r="56" spans="1:1" x14ac:dyDescent="0.15">
      <c r="A56" t="s">
        <v>178</v>
      </c>
    </row>
    <row r="57" spans="1:1" x14ac:dyDescent="0.15">
      <c r="A57" t="s">
        <v>188</v>
      </c>
    </row>
    <row r="58" spans="1:1" x14ac:dyDescent="0.15">
      <c r="A58" t="s">
        <v>189</v>
      </c>
    </row>
    <row r="59" spans="1:1" x14ac:dyDescent="0.15">
      <c r="A59" t="s">
        <v>190</v>
      </c>
    </row>
    <row r="60" spans="1:1" x14ac:dyDescent="0.15">
      <c r="A60" t="s">
        <v>309</v>
      </c>
    </row>
    <row r="61" spans="1:1" x14ac:dyDescent="0.15">
      <c r="A61" t="s">
        <v>191</v>
      </c>
    </row>
    <row r="62" spans="1:1" x14ac:dyDescent="0.15">
      <c r="A62" t="s">
        <v>192</v>
      </c>
    </row>
    <row r="63" spans="1:1" x14ac:dyDescent="0.15">
      <c r="A63" t="s">
        <v>193</v>
      </c>
    </row>
    <row r="64" spans="1:1" x14ac:dyDescent="0.15">
      <c r="A64" t="s">
        <v>194</v>
      </c>
    </row>
    <row r="65" spans="1:1" x14ac:dyDescent="0.15">
      <c r="A65" t="s">
        <v>195</v>
      </c>
    </row>
    <row r="66" spans="1:1" x14ac:dyDescent="0.15">
      <c r="A66" t="s">
        <v>196</v>
      </c>
    </row>
    <row r="67" spans="1:1" x14ac:dyDescent="0.15">
      <c r="A67" t="s">
        <v>197</v>
      </c>
    </row>
    <row r="68" spans="1:1" x14ac:dyDescent="0.15">
      <c r="A68" t="s">
        <v>198</v>
      </c>
    </row>
    <row r="69" spans="1:1" x14ac:dyDescent="0.15">
      <c r="A69" t="s">
        <v>199</v>
      </c>
    </row>
    <row r="70" spans="1:1" x14ac:dyDescent="0.15">
      <c r="A70" t="s">
        <v>200</v>
      </c>
    </row>
    <row r="71" spans="1:1" x14ac:dyDescent="0.15">
      <c r="A71" t="s">
        <v>201</v>
      </c>
    </row>
    <row r="72" spans="1:1" x14ac:dyDescent="0.15">
      <c r="A72" t="s">
        <v>202</v>
      </c>
    </row>
    <row r="73" spans="1:1" x14ac:dyDescent="0.15">
      <c r="A73" t="s">
        <v>203</v>
      </c>
    </row>
    <row r="74" spans="1:1" x14ac:dyDescent="0.15">
      <c r="A74" t="s">
        <v>296</v>
      </c>
    </row>
    <row r="75" spans="1:1" x14ac:dyDescent="0.15">
      <c r="A75" t="s">
        <v>204</v>
      </c>
    </row>
    <row r="76" spans="1:1" x14ac:dyDescent="0.15">
      <c r="A76" t="s">
        <v>297</v>
      </c>
    </row>
    <row r="77" spans="1:1" x14ac:dyDescent="0.15">
      <c r="A77" t="s">
        <v>324</v>
      </c>
    </row>
    <row r="78" spans="1:1" x14ac:dyDescent="0.15">
      <c r="A78" t="s">
        <v>298</v>
      </c>
    </row>
    <row r="79" spans="1:1" x14ac:dyDescent="0.15">
      <c r="A79" t="s">
        <v>299</v>
      </c>
    </row>
    <row r="80" spans="1:1" x14ac:dyDescent="0.15">
      <c r="A80" t="s">
        <v>325</v>
      </c>
    </row>
    <row r="81" spans="1:1" x14ac:dyDescent="0.15">
      <c r="A81" t="s">
        <v>205</v>
      </c>
    </row>
    <row r="82" spans="1:1" x14ac:dyDescent="0.15">
      <c r="A82" t="s">
        <v>304</v>
      </c>
    </row>
    <row r="83" spans="1:1" x14ac:dyDescent="0.15">
      <c r="A83" t="s">
        <v>305</v>
      </c>
    </row>
    <row r="84" spans="1:1" x14ac:dyDescent="0.15">
      <c r="A84" t="s">
        <v>207</v>
      </c>
    </row>
    <row r="85" spans="1:1" x14ac:dyDescent="0.15">
      <c r="A85" t="s">
        <v>208</v>
      </c>
    </row>
    <row r="86" spans="1:1" x14ac:dyDescent="0.15">
      <c r="A86" t="s">
        <v>306</v>
      </c>
    </row>
    <row r="87" spans="1:1" x14ac:dyDescent="0.15">
      <c r="A87" t="s">
        <v>209</v>
      </c>
    </row>
    <row r="88" spans="1:1" x14ac:dyDescent="0.15">
      <c r="A88" t="s">
        <v>210</v>
      </c>
    </row>
    <row r="89" spans="1:1" x14ac:dyDescent="0.15">
      <c r="A89" t="s">
        <v>211</v>
      </c>
    </row>
    <row r="90" spans="1:1" x14ac:dyDescent="0.15">
      <c r="A90" t="s">
        <v>307</v>
      </c>
    </row>
    <row r="91" spans="1:1" x14ac:dyDescent="0.15">
      <c r="A91" t="s">
        <v>212</v>
      </c>
    </row>
    <row r="92" spans="1:1" x14ac:dyDescent="0.15">
      <c r="A92" t="s">
        <v>301</v>
      </c>
    </row>
    <row r="93" spans="1:1" x14ac:dyDescent="0.15">
      <c r="A93" t="s">
        <v>296</v>
      </c>
    </row>
    <row r="94" spans="1:1" x14ac:dyDescent="0.15">
      <c r="A94" t="s">
        <v>315</v>
      </c>
    </row>
    <row r="95" spans="1:1" x14ac:dyDescent="0.15">
      <c r="A95" t="s">
        <v>297</v>
      </c>
    </row>
    <row r="96" spans="1:1" x14ac:dyDescent="0.15">
      <c r="A96" t="s">
        <v>328</v>
      </c>
    </row>
    <row r="97" spans="1:1" x14ac:dyDescent="0.15">
      <c r="A97" t="s">
        <v>303</v>
      </c>
    </row>
    <row r="98" spans="1:1" x14ac:dyDescent="0.15">
      <c r="A98" t="s">
        <v>329</v>
      </c>
    </row>
    <row r="99" spans="1:1" x14ac:dyDescent="0.15">
      <c r="A99" t="s">
        <v>330</v>
      </c>
    </row>
    <row r="100" spans="1:1" x14ac:dyDescent="0.15">
      <c r="A100" t="s">
        <v>205</v>
      </c>
    </row>
    <row r="101" spans="1:1" x14ac:dyDescent="0.15">
      <c r="A101" t="s">
        <v>206</v>
      </c>
    </row>
    <row r="102" spans="1:1" x14ac:dyDescent="0.15">
      <c r="A102" t="s">
        <v>331</v>
      </c>
    </row>
    <row r="103" spans="1:1" x14ac:dyDescent="0.15">
      <c r="A103" t="s">
        <v>207</v>
      </c>
    </row>
    <row r="104" spans="1:1" x14ac:dyDescent="0.15">
      <c r="A104" t="s">
        <v>208</v>
      </c>
    </row>
    <row r="105" spans="1:1" x14ac:dyDescent="0.15">
      <c r="A105" t="s">
        <v>332</v>
      </c>
    </row>
    <row r="106" spans="1:1" x14ac:dyDescent="0.15">
      <c r="A106" t="s">
        <v>209</v>
      </c>
    </row>
    <row r="107" spans="1:1" x14ac:dyDescent="0.15">
      <c r="A107" t="s">
        <v>210</v>
      </c>
    </row>
    <row r="108" spans="1:1" x14ac:dyDescent="0.15">
      <c r="A108" t="s">
        <v>211</v>
      </c>
    </row>
    <row r="109" spans="1:1" x14ac:dyDescent="0.15">
      <c r="A109" t="s">
        <v>333</v>
      </c>
    </row>
    <row r="110" spans="1:1" x14ac:dyDescent="0.15">
      <c r="A110" t="s">
        <v>212</v>
      </c>
    </row>
    <row r="111" spans="1:1" x14ac:dyDescent="0.15">
      <c r="A111" t="s">
        <v>301</v>
      </c>
    </row>
    <row r="112" spans="1:1" x14ac:dyDescent="0.15">
      <c r="A112" t="s">
        <v>211</v>
      </c>
    </row>
    <row r="113" spans="1:1" x14ac:dyDescent="0.15">
      <c r="A113" t="s">
        <v>334</v>
      </c>
    </row>
    <row r="114" spans="1:1" x14ac:dyDescent="0.15">
      <c r="A114" t="s">
        <v>213</v>
      </c>
    </row>
    <row r="115" spans="1:1" x14ac:dyDescent="0.15">
      <c r="A115" t="s">
        <v>326</v>
      </c>
    </row>
    <row r="116" spans="1:1" x14ac:dyDescent="0.15">
      <c r="A116" t="s">
        <v>307</v>
      </c>
    </row>
    <row r="117" spans="1:1" x14ac:dyDescent="0.15">
      <c r="A117" t="s">
        <v>205</v>
      </c>
    </row>
    <row r="118" spans="1:1" x14ac:dyDescent="0.15">
      <c r="A118" t="s">
        <v>304</v>
      </c>
    </row>
    <row r="119" spans="1:1" x14ac:dyDescent="0.15">
      <c r="A119" t="s">
        <v>305</v>
      </c>
    </row>
    <row r="120" spans="1:1" x14ac:dyDescent="0.15">
      <c r="A120" t="s">
        <v>207</v>
      </c>
    </row>
    <row r="121" spans="1:1" x14ac:dyDescent="0.15">
      <c r="A121" t="s">
        <v>208</v>
      </c>
    </row>
    <row r="122" spans="1:1" x14ac:dyDescent="0.15">
      <c r="A122" t="s">
        <v>306</v>
      </c>
    </row>
    <row r="123" spans="1:1" x14ac:dyDescent="0.15">
      <c r="A123" t="s">
        <v>209</v>
      </c>
    </row>
    <row r="124" spans="1:1" x14ac:dyDescent="0.15">
      <c r="A124" t="s">
        <v>210</v>
      </c>
    </row>
    <row r="125" spans="1:1" x14ac:dyDescent="0.15">
      <c r="A125" t="s">
        <v>214</v>
      </c>
    </row>
    <row r="126" spans="1:1" x14ac:dyDescent="0.15">
      <c r="A126" t="s">
        <v>213</v>
      </c>
    </row>
    <row r="127" spans="1:1" x14ac:dyDescent="0.15">
      <c r="A127" t="s">
        <v>335</v>
      </c>
    </row>
    <row r="128" spans="1:1" x14ac:dyDescent="0.15">
      <c r="A128" t="s">
        <v>333</v>
      </c>
    </row>
    <row r="129" spans="1:1" x14ac:dyDescent="0.15">
      <c r="A129" t="s">
        <v>205</v>
      </c>
    </row>
    <row r="130" spans="1:1" x14ac:dyDescent="0.15">
      <c r="A130" t="s">
        <v>206</v>
      </c>
    </row>
    <row r="131" spans="1:1" x14ac:dyDescent="0.15">
      <c r="A131" t="s">
        <v>331</v>
      </c>
    </row>
    <row r="132" spans="1:1" x14ac:dyDescent="0.15">
      <c r="A132" t="s">
        <v>207</v>
      </c>
    </row>
    <row r="133" spans="1:1" x14ac:dyDescent="0.15">
      <c r="A133" t="s">
        <v>208</v>
      </c>
    </row>
    <row r="134" spans="1:1" x14ac:dyDescent="0.15">
      <c r="A134" t="s">
        <v>332</v>
      </c>
    </row>
    <row r="135" spans="1:1" x14ac:dyDescent="0.15">
      <c r="A135" t="s">
        <v>209</v>
      </c>
    </row>
    <row r="136" spans="1:1" x14ac:dyDescent="0.15">
      <c r="A136" t="s">
        <v>210</v>
      </c>
    </row>
    <row r="137" spans="1:1" x14ac:dyDescent="0.15">
      <c r="A137" t="s">
        <v>214</v>
      </c>
    </row>
    <row r="138" spans="1:1" x14ac:dyDescent="0.15">
      <c r="A138" t="s">
        <v>213</v>
      </c>
    </row>
    <row r="139" spans="1:1" x14ac:dyDescent="0.15">
      <c r="A139" t="s">
        <v>292</v>
      </c>
    </row>
    <row r="140" spans="1:1" x14ac:dyDescent="0.15">
      <c r="A140" t="s">
        <v>291</v>
      </c>
    </row>
    <row r="141" spans="1:1" x14ac:dyDescent="0.15">
      <c r="A141" t="s">
        <v>205</v>
      </c>
    </row>
    <row r="142" spans="1:1" x14ac:dyDescent="0.15">
      <c r="A142" t="s">
        <v>206</v>
      </c>
    </row>
    <row r="143" spans="1:1" x14ac:dyDescent="0.15">
      <c r="A143" t="s">
        <v>284</v>
      </c>
    </row>
    <row r="144" spans="1:1" x14ac:dyDescent="0.15">
      <c r="A144" t="s">
        <v>207</v>
      </c>
    </row>
    <row r="145" spans="1:1" x14ac:dyDescent="0.15">
      <c r="A145" t="s">
        <v>208</v>
      </c>
    </row>
    <row r="146" spans="1:1" x14ac:dyDescent="0.15">
      <c r="A146" t="s">
        <v>285</v>
      </c>
    </row>
    <row r="147" spans="1:1" x14ac:dyDescent="0.15">
      <c r="A147" t="s">
        <v>209</v>
      </c>
    </row>
    <row r="148" spans="1:1" x14ac:dyDescent="0.15">
      <c r="A148" t="s">
        <v>210</v>
      </c>
    </row>
    <row r="149" spans="1:1" x14ac:dyDescent="0.15">
      <c r="A149" t="s">
        <v>214</v>
      </c>
    </row>
    <row r="150" spans="1:1" x14ac:dyDescent="0.15">
      <c r="A150" t="s">
        <v>213</v>
      </c>
    </row>
    <row r="151" spans="1:1" x14ac:dyDescent="0.15">
      <c r="A151" t="s">
        <v>311</v>
      </c>
    </row>
    <row r="152" spans="1:1" x14ac:dyDescent="0.15">
      <c r="A152" t="s">
        <v>308</v>
      </c>
    </row>
    <row r="153" spans="1:1" x14ac:dyDescent="0.15">
      <c r="A153" t="s">
        <v>205</v>
      </c>
    </row>
    <row r="154" spans="1:1" x14ac:dyDescent="0.15">
      <c r="A154" t="s">
        <v>206</v>
      </c>
    </row>
    <row r="155" spans="1:1" x14ac:dyDescent="0.15">
      <c r="A155" t="s">
        <v>312</v>
      </c>
    </row>
    <row r="156" spans="1:1" x14ac:dyDescent="0.15">
      <c r="A156" t="s">
        <v>207</v>
      </c>
    </row>
    <row r="157" spans="1:1" x14ac:dyDescent="0.15">
      <c r="A157" t="s">
        <v>208</v>
      </c>
    </row>
    <row r="158" spans="1:1" x14ac:dyDescent="0.15">
      <c r="A158" t="s">
        <v>313</v>
      </c>
    </row>
    <row r="159" spans="1:1" x14ac:dyDescent="0.15">
      <c r="A159" t="s">
        <v>209</v>
      </c>
    </row>
    <row r="160" spans="1:1" x14ac:dyDescent="0.15">
      <c r="A160" t="s">
        <v>210</v>
      </c>
    </row>
    <row r="161" spans="1:1" x14ac:dyDescent="0.15">
      <c r="A161" t="s">
        <v>214</v>
      </c>
    </row>
    <row r="162" spans="1:1" x14ac:dyDescent="0.15">
      <c r="A162" t="s">
        <v>212</v>
      </c>
    </row>
    <row r="163" spans="1:1" x14ac:dyDescent="0.15">
      <c r="A163" t="s">
        <v>215</v>
      </c>
    </row>
    <row r="164" spans="1:1" x14ac:dyDescent="0.15">
      <c r="A164" t="s">
        <v>314</v>
      </c>
    </row>
    <row r="165" spans="1:1" x14ac:dyDescent="0.15">
      <c r="A165" t="s">
        <v>336</v>
      </c>
    </row>
    <row r="166" spans="1:1" x14ac:dyDescent="0.15">
      <c r="A166" t="s">
        <v>337</v>
      </c>
    </row>
    <row r="167" spans="1:1" x14ac:dyDescent="0.15">
      <c r="A167" t="s">
        <v>338</v>
      </c>
    </row>
    <row r="168" spans="1:1" x14ac:dyDescent="0.15">
      <c r="A168" t="s">
        <v>339</v>
      </c>
    </row>
    <row r="169" spans="1:1" x14ac:dyDescent="0.15">
      <c r="A169" t="s">
        <v>216</v>
      </c>
    </row>
    <row r="170" spans="1:1" x14ac:dyDescent="0.15">
      <c r="A170" t="s">
        <v>217</v>
      </c>
    </row>
    <row r="171" spans="1:1" x14ac:dyDescent="0.15">
      <c r="A171" t="s">
        <v>204</v>
      </c>
    </row>
    <row r="172" spans="1:1" x14ac:dyDescent="0.15">
      <c r="A172" t="s">
        <v>228</v>
      </c>
    </row>
    <row r="173" spans="1:1" x14ac:dyDescent="0.15">
      <c r="A173" t="s">
        <v>293</v>
      </c>
    </row>
    <row r="174" spans="1:1" x14ac:dyDescent="0.15">
      <c r="A174" t="s">
        <v>289</v>
      </c>
    </row>
    <row r="175" spans="1:1" x14ac:dyDescent="0.15">
      <c r="A175" t="s">
        <v>294</v>
      </c>
    </row>
    <row r="176" spans="1:1" x14ac:dyDescent="0.15">
      <c r="A176" t="s">
        <v>295</v>
      </c>
    </row>
    <row r="177" spans="1:1" x14ac:dyDescent="0.15">
      <c r="A177" t="s">
        <v>290</v>
      </c>
    </row>
    <row r="178" spans="1:1" x14ac:dyDescent="0.15">
      <c r="A178" t="s">
        <v>296</v>
      </c>
    </row>
    <row r="179" spans="1:1" x14ac:dyDescent="0.15">
      <c r="A179" t="s">
        <v>204</v>
      </c>
    </row>
    <row r="180" spans="1:1" x14ac:dyDescent="0.15">
      <c r="A180" t="s">
        <v>297</v>
      </c>
    </row>
    <row r="181" spans="1:1" x14ac:dyDescent="0.15">
      <c r="A181" t="s">
        <v>310</v>
      </c>
    </row>
    <row r="182" spans="1:1" x14ac:dyDescent="0.15">
      <c r="A182" t="s">
        <v>298</v>
      </c>
    </row>
    <row r="183" spans="1:1" x14ac:dyDescent="0.15">
      <c r="A183" t="s">
        <v>299</v>
      </c>
    </row>
    <row r="184" spans="1:1" x14ac:dyDescent="0.15">
      <c r="A184" t="s">
        <v>300</v>
      </c>
    </row>
    <row r="185" spans="1:1" x14ac:dyDescent="0.15">
      <c r="A185" t="s">
        <v>205</v>
      </c>
    </row>
    <row r="186" spans="1:1" x14ac:dyDescent="0.15">
      <c r="A186" t="s">
        <v>206</v>
      </c>
    </row>
    <row r="187" spans="1:1" x14ac:dyDescent="0.15">
      <c r="A187" t="s">
        <v>284</v>
      </c>
    </row>
    <row r="188" spans="1:1" x14ac:dyDescent="0.15">
      <c r="A188" t="s">
        <v>207</v>
      </c>
    </row>
    <row r="189" spans="1:1" x14ac:dyDescent="0.15">
      <c r="A189" t="s">
        <v>208</v>
      </c>
    </row>
    <row r="190" spans="1:1" x14ac:dyDescent="0.15">
      <c r="A190" t="s">
        <v>285</v>
      </c>
    </row>
    <row r="191" spans="1:1" x14ac:dyDescent="0.15">
      <c r="A191" t="s">
        <v>209</v>
      </c>
    </row>
    <row r="192" spans="1:1" x14ac:dyDescent="0.15">
      <c r="A192" t="s">
        <v>210</v>
      </c>
    </row>
    <row r="193" spans="1:1" x14ac:dyDescent="0.15">
      <c r="A193" t="s">
        <v>301</v>
      </c>
    </row>
    <row r="194" spans="1:1" x14ac:dyDescent="0.15">
      <c r="A194" t="s">
        <v>211</v>
      </c>
    </row>
    <row r="195" spans="1:1" x14ac:dyDescent="0.15">
      <c r="A195" t="s">
        <v>291</v>
      </c>
    </row>
    <row r="196" spans="1:1" x14ac:dyDescent="0.15">
      <c r="A196" t="s">
        <v>213</v>
      </c>
    </row>
    <row r="197" spans="1:1" x14ac:dyDescent="0.15">
      <c r="A197" t="s">
        <v>292</v>
      </c>
    </row>
    <row r="198" spans="1:1" x14ac:dyDescent="0.15">
      <c r="A198" t="s">
        <v>291</v>
      </c>
    </row>
    <row r="199" spans="1:1" x14ac:dyDescent="0.15">
      <c r="A199" t="s">
        <v>205</v>
      </c>
    </row>
    <row r="200" spans="1:1" x14ac:dyDescent="0.15">
      <c r="A200" t="s">
        <v>206</v>
      </c>
    </row>
    <row r="201" spans="1:1" x14ac:dyDescent="0.15">
      <c r="A201" t="s">
        <v>284</v>
      </c>
    </row>
    <row r="202" spans="1:1" x14ac:dyDescent="0.15">
      <c r="A202" t="s">
        <v>207</v>
      </c>
    </row>
    <row r="203" spans="1:1" x14ac:dyDescent="0.15">
      <c r="A203" t="s">
        <v>208</v>
      </c>
    </row>
    <row r="204" spans="1:1" x14ac:dyDescent="0.15">
      <c r="A204" t="s">
        <v>285</v>
      </c>
    </row>
    <row r="205" spans="1:1" x14ac:dyDescent="0.15">
      <c r="A205" t="s">
        <v>209</v>
      </c>
    </row>
    <row r="206" spans="1:1" x14ac:dyDescent="0.15">
      <c r="A206" t="s">
        <v>210</v>
      </c>
    </row>
    <row r="207" spans="1:1" x14ac:dyDescent="0.15">
      <c r="A207" t="s">
        <v>214</v>
      </c>
    </row>
    <row r="208" spans="1:1" x14ac:dyDescent="0.15">
      <c r="A208" t="s">
        <v>212</v>
      </c>
    </row>
    <row r="209" spans="1:1" x14ac:dyDescent="0.15">
      <c r="A209" t="s">
        <v>218</v>
      </c>
    </row>
    <row r="210" spans="1:1" x14ac:dyDescent="0.15">
      <c r="A210" t="s">
        <v>286</v>
      </c>
    </row>
    <row r="211" spans="1:1" x14ac:dyDescent="0.15">
      <c r="A211" t="s">
        <v>287</v>
      </c>
    </row>
    <row r="212" spans="1:1" x14ac:dyDescent="0.15">
      <c r="A212" t="s">
        <v>219</v>
      </c>
    </row>
    <row r="213" spans="1:1" x14ac:dyDescent="0.15">
      <c r="A213" t="s">
        <v>288</v>
      </c>
    </row>
    <row r="214" spans="1:1" x14ac:dyDescent="0.15">
      <c r="A214" t="s">
        <v>220</v>
      </c>
    </row>
    <row r="215" spans="1:1" x14ac:dyDescent="0.15">
      <c r="A215" t="s">
        <v>221</v>
      </c>
    </row>
    <row r="216" spans="1:1" x14ac:dyDescent="0.15">
      <c r="A216" t="s">
        <v>222</v>
      </c>
    </row>
    <row r="217" spans="1:1" x14ac:dyDescent="0.15">
      <c r="A217" t="s">
        <v>302</v>
      </c>
    </row>
    <row r="218" spans="1:1" x14ac:dyDescent="0.15">
      <c r="A218" t="s">
        <v>223</v>
      </c>
    </row>
    <row r="219" spans="1:1" x14ac:dyDescent="0.15">
      <c r="A219" t="s">
        <v>224</v>
      </c>
    </row>
    <row r="220" spans="1:1" x14ac:dyDescent="0.15">
      <c r="A220" t="s">
        <v>225</v>
      </c>
    </row>
    <row r="221" spans="1:1" x14ac:dyDescent="0.15">
      <c r="A221" t="s">
        <v>226</v>
      </c>
    </row>
    <row r="222" spans="1:1" x14ac:dyDescent="0.15">
      <c r="A222" t="s">
        <v>217</v>
      </c>
    </row>
    <row r="223" spans="1:1" x14ac:dyDescent="0.15">
      <c r="A223" t="s">
        <v>315</v>
      </c>
    </row>
    <row r="224" spans="1:1" x14ac:dyDescent="0.15">
      <c r="A224" t="s">
        <v>228</v>
      </c>
    </row>
    <row r="225" spans="1:1" x14ac:dyDescent="0.15">
      <c r="A225" t="s">
        <v>316</v>
      </c>
    </row>
    <row r="226" spans="1:1" x14ac:dyDescent="0.15">
      <c r="A226" t="s">
        <v>289</v>
      </c>
    </row>
    <row r="227" spans="1:1" x14ac:dyDescent="0.15">
      <c r="A227" t="s">
        <v>294</v>
      </c>
    </row>
    <row r="228" spans="1:1" x14ac:dyDescent="0.15">
      <c r="A228" t="s">
        <v>295</v>
      </c>
    </row>
    <row r="229" spans="1:1" x14ac:dyDescent="0.15">
      <c r="A229" t="s">
        <v>290</v>
      </c>
    </row>
    <row r="230" spans="1:1" x14ac:dyDescent="0.15">
      <c r="A230" t="s">
        <v>296</v>
      </c>
    </row>
    <row r="231" spans="1:1" x14ac:dyDescent="0.15">
      <c r="A231" t="s">
        <v>204</v>
      </c>
    </row>
    <row r="232" spans="1:1" x14ac:dyDescent="0.15">
      <c r="A232" t="s">
        <v>297</v>
      </c>
    </row>
    <row r="233" spans="1:1" x14ac:dyDescent="0.15">
      <c r="A233" t="s">
        <v>317</v>
      </c>
    </row>
    <row r="234" spans="1:1" x14ac:dyDescent="0.15">
      <c r="A234" t="s">
        <v>318</v>
      </c>
    </row>
    <row r="235" spans="1:1" x14ac:dyDescent="0.15">
      <c r="A235" t="s">
        <v>299</v>
      </c>
    </row>
    <row r="236" spans="1:1" x14ac:dyDescent="0.15">
      <c r="A236" t="s">
        <v>319</v>
      </c>
    </row>
    <row r="237" spans="1:1" x14ac:dyDescent="0.15">
      <c r="A237" t="s">
        <v>205</v>
      </c>
    </row>
    <row r="238" spans="1:1" x14ac:dyDescent="0.15">
      <c r="A238" t="s">
        <v>206</v>
      </c>
    </row>
    <row r="239" spans="1:1" x14ac:dyDescent="0.15">
      <c r="A239" t="s">
        <v>312</v>
      </c>
    </row>
    <row r="240" spans="1:1" x14ac:dyDescent="0.15">
      <c r="A240" t="s">
        <v>207</v>
      </c>
    </row>
    <row r="241" spans="1:1" x14ac:dyDescent="0.15">
      <c r="A241" t="s">
        <v>208</v>
      </c>
    </row>
    <row r="242" spans="1:1" x14ac:dyDescent="0.15">
      <c r="A242" t="s">
        <v>313</v>
      </c>
    </row>
    <row r="243" spans="1:1" x14ac:dyDescent="0.15">
      <c r="A243" t="s">
        <v>209</v>
      </c>
    </row>
    <row r="244" spans="1:1" x14ac:dyDescent="0.15">
      <c r="A244" t="s">
        <v>210</v>
      </c>
    </row>
    <row r="245" spans="1:1" x14ac:dyDescent="0.15">
      <c r="A245" t="s">
        <v>301</v>
      </c>
    </row>
    <row r="246" spans="1:1" x14ac:dyDescent="0.15">
      <c r="A246" t="s">
        <v>211</v>
      </c>
    </row>
    <row r="247" spans="1:1" x14ac:dyDescent="0.15">
      <c r="A247" t="s">
        <v>308</v>
      </c>
    </row>
    <row r="248" spans="1:1" x14ac:dyDescent="0.15">
      <c r="A248" t="s">
        <v>213</v>
      </c>
    </row>
    <row r="249" spans="1:1" x14ac:dyDescent="0.15">
      <c r="A249" t="s">
        <v>311</v>
      </c>
    </row>
    <row r="250" spans="1:1" x14ac:dyDescent="0.15">
      <c r="A250" t="s">
        <v>308</v>
      </c>
    </row>
    <row r="251" spans="1:1" x14ac:dyDescent="0.15">
      <c r="A251" t="s">
        <v>205</v>
      </c>
    </row>
    <row r="252" spans="1:1" x14ac:dyDescent="0.15">
      <c r="A252" t="s">
        <v>206</v>
      </c>
    </row>
    <row r="253" spans="1:1" x14ac:dyDescent="0.15">
      <c r="A253" t="s">
        <v>312</v>
      </c>
    </row>
    <row r="254" spans="1:1" x14ac:dyDescent="0.15">
      <c r="A254" t="s">
        <v>207</v>
      </c>
    </row>
    <row r="255" spans="1:1" x14ac:dyDescent="0.15">
      <c r="A255" t="s">
        <v>208</v>
      </c>
    </row>
    <row r="256" spans="1:1" x14ac:dyDescent="0.15">
      <c r="A256" t="s">
        <v>313</v>
      </c>
    </row>
    <row r="257" spans="1:1" x14ac:dyDescent="0.15">
      <c r="A257" t="s">
        <v>209</v>
      </c>
    </row>
    <row r="258" spans="1:1" x14ac:dyDescent="0.15">
      <c r="A258" t="s">
        <v>210</v>
      </c>
    </row>
    <row r="259" spans="1:1" x14ac:dyDescent="0.15">
      <c r="A259" t="s">
        <v>214</v>
      </c>
    </row>
    <row r="260" spans="1:1" x14ac:dyDescent="0.15">
      <c r="A260" t="s">
        <v>212</v>
      </c>
    </row>
    <row r="261" spans="1:1" x14ac:dyDescent="0.15">
      <c r="A261" t="s">
        <v>218</v>
      </c>
    </row>
    <row r="262" spans="1:1" x14ac:dyDescent="0.15">
      <c r="A262" t="s">
        <v>320</v>
      </c>
    </row>
    <row r="263" spans="1:1" x14ac:dyDescent="0.15">
      <c r="A263" t="s">
        <v>321</v>
      </c>
    </row>
    <row r="264" spans="1:1" x14ac:dyDescent="0.15">
      <c r="A264" t="s">
        <v>219</v>
      </c>
    </row>
    <row r="265" spans="1:1" x14ac:dyDescent="0.15">
      <c r="A265" t="s">
        <v>322</v>
      </c>
    </row>
    <row r="266" spans="1:1" x14ac:dyDescent="0.15">
      <c r="A266" t="s">
        <v>220</v>
      </c>
    </row>
    <row r="267" spans="1:1" x14ac:dyDescent="0.15">
      <c r="A267" t="s">
        <v>221</v>
      </c>
    </row>
    <row r="268" spans="1:1" x14ac:dyDescent="0.15">
      <c r="A268" t="s">
        <v>222</v>
      </c>
    </row>
    <row r="269" spans="1:1" x14ac:dyDescent="0.15">
      <c r="A269" t="s">
        <v>323</v>
      </c>
    </row>
    <row r="270" spans="1:1" x14ac:dyDescent="0.15">
      <c r="A270" t="s">
        <v>223</v>
      </c>
    </row>
    <row r="271" spans="1:1" x14ac:dyDescent="0.15">
      <c r="A271" t="s">
        <v>224</v>
      </c>
    </row>
    <row r="272" spans="1:1" x14ac:dyDescent="0.15">
      <c r="A272" t="s">
        <v>225</v>
      </c>
    </row>
    <row r="273" spans="1:1" x14ac:dyDescent="0.15">
      <c r="A273" t="s">
        <v>226</v>
      </c>
    </row>
    <row r="274" spans="1:1" x14ac:dyDescent="0.15">
      <c r="A274" t="s">
        <v>227</v>
      </c>
    </row>
  </sheetData>
  <sheetProtection sheet="1" objects="1" scenarios="1"/>
  <phoneticPr fontId="2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6"/>
  <sheetViews>
    <sheetView workbookViewId="0">
      <selection sqref="A1:XFD1048576"/>
    </sheetView>
  </sheetViews>
  <sheetFormatPr defaultColWidth="13" defaultRowHeight="14.25" x14ac:dyDescent="0.15"/>
  <cols>
    <col min="1" max="1" width="11.625" bestFit="1" customWidth="1"/>
    <col min="2" max="2" width="23.125" bestFit="1" customWidth="1"/>
    <col min="3" max="3" width="98.125" bestFit="1" customWidth="1"/>
  </cols>
  <sheetData>
    <row r="1" spans="1:3" x14ac:dyDescent="0.15">
      <c r="A1" t="s">
        <v>147</v>
      </c>
      <c r="B1" t="s">
        <v>341</v>
      </c>
      <c r="C1" t="s">
        <v>256</v>
      </c>
    </row>
    <row r="2" spans="1:3" x14ac:dyDescent="0.15">
      <c r="A2" t="s">
        <v>147</v>
      </c>
      <c r="B2" t="s">
        <v>341</v>
      </c>
      <c r="C2" t="s">
        <v>257</v>
      </c>
    </row>
    <row r="3" spans="1:3" x14ac:dyDescent="0.15">
      <c r="A3" t="s">
        <v>147</v>
      </c>
      <c r="B3" t="s">
        <v>341</v>
      </c>
      <c r="C3" t="s">
        <v>258</v>
      </c>
    </row>
    <row r="4" spans="1:3" x14ac:dyDescent="0.15">
      <c r="A4" t="s">
        <v>147</v>
      </c>
      <c r="B4" t="s">
        <v>341</v>
      </c>
      <c r="C4" t="s">
        <v>259</v>
      </c>
    </row>
    <row r="5" spans="1:3" x14ac:dyDescent="0.15">
      <c r="A5" t="s">
        <v>147</v>
      </c>
      <c r="B5" t="s">
        <v>341</v>
      </c>
      <c r="C5" t="s">
        <v>260</v>
      </c>
    </row>
    <row r="6" spans="1:3" x14ac:dyDescent="0.15">
      <c r="A6" t="s">
        <v>147</v>
      </c>
      <c r="B6" t="s">
        <v>341</v>
      </c>
      <c r="C6" t="s">
        <v>261</v>
      </c>
    </row>
    <row r="7" spans="1:3" x14ac:dyDescent="0.15">
      <c r="A7" t="s">
        <v>342</v>
      </c>
      <c r="B7" t="s">
        <v>341</v>
      </c>
      <c r="C7" t="s">
        <v>343</v>
      </c>
    </row>
    <row r="8" spans="1:3" x14ac:dyDescent="0.15">
      <c r="A8" t="s">
        <v>342</v>
      </c>
      <c r="B8" t="s">
        <v>341</v>
      </c>
      <c r="C8" t="s">
        <v>344</v>
      </c>
    </row>
    <row r="9" spans="1:3" x14ac:dyDescent="0.15">
      <c r="A9" t="s">
        <v>342</v>
      </c>
      <c r="B9" t="s">
        <v>341</v>
      </c>
      <c r="C9" t="s">
        <v>345</v>
      </c>
    </row>
    <row r="10" spans="1:3" x14ac:dyDescent="0.15">
      <c r="A10" t="s">
        <v>342</v>
      </c>
      <c r="B10" t="s">
        <v>341</v>
      </c>
      <c r="C10" s="15" t="s">
        <v>346</v>
      </c>
    </row>
    <row r="11" spans="1:3" x14ac:dyDescent="0.15">
      <c r="A11" t="s">
        <v>342</v>
      </c>
      <c r="B11" t="s">
        <v>341</v>
      </c>
      <c r="C11" t="s">
        <v>347</v>
      </c>
    </row>
    <row r="12" spans="1:3" x14ac:dyDescent="0.15">
      <c r="A12" t="s">
        <v>147</v>
      </c>
      <c r="B12" t="s">
        <v>341</v>
      </c>
      <c r="C12" s="15" t="s">
        <v>262</v>
      </c>
    </row>
    <row r="13" spans="1:3" x14ac:dyDescent="0.15">
      <c r="A13" t="s">
        <v>147</v>
      </c>
      <c r="B13" t="s">
        <v>341</v>
      </c>
      <c r="C13" s="15" t="s">
        <v>263</v>
      </c>
    </row>
    <row r="25" spans="3:3" x14ac:dyDescent="0.15">
      <c r="C25" s="15"/>
    </row>
    <row r="26" spans="3:3" x14ac:dyDescent="0.15">
      <c r="C26" s="15"/>
    </row>
    <row r="27" spans="3:3" x14ac:dyDescent="0.15">
      <c r="C27" s="15"/>
    </row>
    <row r="28" spans="3:3" x14ac:dyDescent="0.15">
      <c r="C28" s="15"/>
    </row>
    <row r="29" spans="3:3" x14ac:dyDescent="0.15">
      <c r="C29" s="15"/>
    </row>
    <row r="31" spans="3:3" x14ac:dyDescent="0.15">
      <c r="C31" s="15"/>
    </row>
    <row r="32" spans="3:3" x14ac:dyDescent="0.15">
      <c r="C32" s="15"/>
    </row>
    <row r="33" spans="3:3" x14ac:dyDescent="0.15">
      <c r="C33" s="15"/>
    </row>
    <row r="34" spans="3:3" x14ac:dyDescent="0.15">
      <c r="C34" s="15"/>
    </row>
    <row r="35" spans="3:3" x14ac:dyDescent="0.15">
      <c r="C35" s="15"/>
    </row>
    <row r="36" spans="3:3" x14ac:dyDescent="0.15">
      <c r="C36" s="15"/>
    </row>
    <row r="37" spans="3:3" x14ac:dyDescent="0.15">
      <c r="C37" s="15"/>
    </row>
    <row r="39" spans="3:3" x14ac:dyDescent="0.15">
      <c r="C39" s="15"/>
    </row>
    <row r="40" spans="3:3" x14ac:dyDescent="0.15">
      <c r="C40" s="15"/>
    </row>
    <row r="41" spans="3:3" x14ac:dyDescent="0.15">
      <c r="C41" s="15"/>
    </row>
    <row r="42" spans="3:3" x14ac:dyDescent="0.15">
      <c r="C42" s="15"/>
    </row>
    <row r="43" spans="3:3" x14ac:dyDescent="0.15">
      <c r="C43" s="15"/>
    </row>
    <row r="44" spans="3:3" x14ac:dyDescent="0.15">
      <c r="C44" s="15"/>
    </row>
    <row r="46" spans="3:3" x14ac:dyDescent="0.15">
      <c r="C46" s="15"/>
    </row>
    <row r="47" spans="3:3" x14ac:dyDescent="0.15">
      <c r="C47" s="15"/>
    </row>
    <row r="50" spans="3:3" x14ac:dyDescent="0.15">
      <c r="C50" s="15"/>
    </row>
    <row r="51" spans="3:3" x14ac:dyDescent="0.15">
      <c r="C51" s="15"/>
    </row>
    <row r="53" spans="3:3" x14ac:dyDescent="0.15">
      <c r="C53" s="15"/>
    </row>
    <row r="54" spans="3:3" x14ac:dyDescent="0.15">
      <c r="C54" s="15"/>
    </row>
    <row r="55" spans="3:3" x14ac:dyDescent="0.15">
      <c r="C55" s="15"/>
    </row>
    <row r="56" spans="3:3" x14ac:dyDescent="0.15">
      <c r="C56" s="15"/>
    </row>
    <row r="57" spans="3:3" x14ac:dyDescent="0.15">
      <c r="C57" s="15"/>
    </row>
    <row r="62" spans="3:3" x14ac:dyDescent="0.15">
      <c r="C62" s="15"/>
    </row>
    <row r="69" spans="3:3" x14ac:dyDescent="0.15">
      <c r="C69" s="15"/>
    </row>
    <row r="80" spans="3:3" x14ac:dyDescent="0.15">
      <c r="C80" s="15"/>
    </row>
    <row r="81" spans="3:3" x14ac:dyDescent="0.15">
      <c r="C81" s="15"/>
    </row>
    <row r="86" spans="3:3" x14ac:dyDescent="0.15">
      <c r="C86" s="15"/>
    </row>
  </sheetData>
  <sheetProtection sheet="1" objects="1" scenarios="1"/>
  <phoneticPr fontId="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請求書作成</vt:lpstr>
      <vt:lpstr>請求書データ</vt:lpstr>
      <vt:lpstr>マスタ</vt:lpstr>
      <vt:lpstr>パラメータ</vt:lpstr>
      <vt:lpstr>XML</vt:lpstr>
      <vt:lpstr>ログ</vt:lpstr>
    </vt:vector>
  </TitlesOfParts>
  <Company>Tradeshift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Osami Ichiyama</dc:creator>
  <cp:lastModifiedBy>Ichiyama</cp:lastModifiedBy>
  <dcterms:created xsi:type="dcterms:W3CDTF">2015-04-24T08:47:18Z</dcterms:created>
  <dcterms:modified xsi:type="dcterms:W3CDTF">2015-08-11T07:32:42Z</dcterms:modified>
</cp:coreProperties>
</file>